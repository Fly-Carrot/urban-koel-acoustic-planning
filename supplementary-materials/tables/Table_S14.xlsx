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669D94A7-BD2A-CD42-966A-A69D5DE9BECD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A City totals" sheetId="1" r:id="rId1"/>
    <sheet name="B PID by AOA" sheetId="2" r:id="rId2"/>
    <sheet name="C Reporting popula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D8" i="2"/>
  <c r="C8" i="2"/>
  <c r="B8" i="2"/>
  <c r="F7" i="2"/>
  <c r="F6" i="2"/>
  <c r="F5" i="2"/>
  <c r="F8" i="2" s="1"/>
  <c r="F15" i="1"/>
  <c r="D15" i="1"/>
  <c r="F14" i="1"/>
  <c r="D14" i="1"/>
  <c r="F13" i="1"/>
  <c r="D13" i="1"/>
  <c r="F12" i="1"/>
  <c r="D12" i="1"/>
  <c r="F11" i="1"/>
  <c r="D11" i="1"/>
  <c r="F10" i="1"/>
  <c r="D10" i="1"/>
  <c r="F9" i="1"/>
  <c r="D9" i="1"/>
  <c r="F8" i="1"/>
  <c r="D8" i="1"/>
  <c r="F7" i="1"/>
  <c r="D7" i="1"/>
  <c r="F6" i="1"/>
  <c r="D6" i="1"/>
  <c r="F5" i="1"/>
  <c r="D5" i="1"/>
</calcChain>
</file>

<file path=xl/sharedStrings.xml><?xml version="1.0" encoding="utf-8"?>
<sst xmlns="http://schemas.openxmlformats.org/spreadsheetml/2006/main" count="114" uniqueCount="52">
  <si>
    <t>Table S14A. Citywide extent of ecological, statistical and combined support classes</t>
  </si>
  <si>
    <t>HEX percentages use all 13,714 classified cells. Area is the analytical grid clipped to the union of the nine district polygons and is not an official administrative land-area estimate.</t>
  </si>
  <si>
    <t>Support layer</t>
  </si>
  <si>
    <t>Class</t>
  </si>
  <si>
    <t>HEX count</t>
  </si>
  <si>
    <t>% of HEXes</t>
  </si>
  <si>
    <t>Clipped area (km²)</t>
  </si>
  <si>
    <t>% of map area</t>
  </si>
  <si>
    <t>Denominator</t>
  </si>
  <si>
    <t>PASS</t>
  </si>
  <si>
    <t>13,714 HEXes; clipped map area</t>
  </si>
  <si>
    <t>UNCERTAIN</t>
  </si>
  <si>
    <t>EXCLUDED</t>
  </si>
  <si>
    <t>H4 AOA</t>
  </si>
  <si>
    <t>SUPPORTED</t>
  </si>
  <si>
    <t>BOUNDARY</t>
  </si>
  <si>
    <t>EXTRAPOLATED</t>
  </si>
  <si>
    <t>SEVERELY_UNSUPPORTED</t>
  </si>
  <si>
    <t>Combined tier</t>
  </si>
  <si>
    <t>Note. Support labels accompany predictions and are never multiplied into weekly opportunity, calling density or sampled-minute exposure. The class percentages differ slightly between HEX counts and clipped area because boundary HEXes are only partly inside the district union.</t>
  </si>
  <si>
    <t>Table S14B. Cross-tabulation of ecological reporting domain and H4 AOA</t>
  </si>
  <si>
    <t>The two support layers are evaluated independently before their deterministic conversion to the four interpretation tiers.</t>
  </si>
  <si>
    <t>Supported</t>
  </si>
  <si>
    <t>Boundary</t>
  </si>
  <si>
    <t>Extrapolated</t>
  </si>
  <si>
    <t>Severely unsupported</t>
  </si>
  <si>
    <t>Row total</t>
  </si>
  <si>
    <t>Column total</t>
  </si>
  <si>
    <t>Table S14C. Classification and display populations</t>
  </si>
  <si>
    <t>Classification uses the complete fixed grid. Prediction maps and planning summaries additionally apply centroid and interpretation-domain rules.</t>
  </si>
  <si>
    <t>Population</t>
  </si>
  <si>
    <t>Use</t>
  </si>
  <si>
    <t>All classified HEXes</t>
  </si>
  <si>
    <t>Support-class denominators and Figure S7</t>
  </si>
  <si>
    <t>Includes edge cells and categorical permanent-water exclusions</t>
  </si>
  <si>
    <t>Centroid-in-city, excluding categorical permanent water</t>
  </si>
  <si>
    <t>All-HEX weekly prediction maps and trends</t>
  </si>
  <si>
    <t>Excludes centroid-outside-city and categorical permanent-water cells</t>
  </si>
  <si>
    <t>Planning-facing city summaries in S7-S8</t>
  </si>
  <si>
    <t>Note. The H4 AOA uses only static environmental variables. One AOA and one combined-tier label therefore accompany all 52 annual weeks; no week-specific, majority or worst-week aggregation is used.</t>
  </si>
  <si>
    <t>Table S14A. Citywide extent of prediction-interpretation, statistical and combined support classes</t>
  </si>
  <si>
    <t>PID</t>
  </si>
  <si>
    <t>Primary Results</t>
  </si>
  <si>
    <t>Moderate Extrapolation</t>
  </si>
  <si>
    <t>Monitoring Gaps</t>
  </si>
  <si>
    <t>Outside the Reporting Domain</t>
  </si>
  <si>
    <t>Table S14B. Cross-tabulation of PID and H4 AOA</t>
  </si>
  <si>
    <t>PID class</t>
  </si>
  <si>
    <t>Note. Primary Results = PASS with Supported or Boundary AOA. Moderate Extrapolation includes reportable Extrapolated cells and Uncertain cells with Supported or Boundary AOA. Monitoring Gaps = reportable but Severely unsupported. Excluded cells remain outside the reporting domain.</t>
  </si>
  <si>
    <t>Note. Primary Results = PASS with Supported or Boundary AOA. Moderate Extrapolation includes reportable Extrapolated cells and Uncertain cells with Supported or Boundary AOA. Monitoring Gaps = reportable but Severely Unsupported. Excluded cells remain Outside the Reporting Domain.</t>
  </si>
  <si>
    <t>Centroid-in-city Primary Results + Moderate Extrapolation</t>
  </si>
  <si>
    <t>Excludes Monitoring Gaps and Outside the Reporting Domain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</si>
</sst>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4"/>
      <color rgb="FFFFFFFF"/>
      <name val="Helvetica"/>
      <family val="2"/>
    </font>
    <font>
      <sz val="9"/>
      <color rgb="FF25282B"/>
      <name val="Helvetica"/>
      <family val="2"/>
    </font>
    <font>
      <b/>
      <sz val="10"/>
      <color rgb="FFFFFFFF"/>
      <name val="Helvetica"/>
      <family val="2"/>
    </font>
    <font>
      <sz val="8"/>
      <color rgb="FF667078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075B61"/>
      </patternFill>
    </fill>
    <fill>
      <patternFill patternType="solid">
        <fgColor rgb="FFDCEEEF"/>
      </patternFill>
    </fill>
    <fill>
      <patternFill patternType="solid">
        <fgColor rgb="FF0F7C82"/>
      </patternFill>
    </fill>
    <fill>
      <patternFill patternType="solid">
        <fgColor rgb="FFFFFFFF"/>
      </patternFill>
    </fill>
    <fill>
      <patternFill patternType="solid">
        <fgColor rgb="FFF5F7F8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075B61"/>
      </bottom>
      <diagonal/>
    </border>
    <border>
      <left/>
      <right/>
      <top/>
      <bottom style="thin">
        <color rgb="FFD8DEE2"/>
      </bottom>
      <diagonal/>
    </border>
    <border>
      <left/>
      <right/>
      <top style="thin">
        <color rgb="FFD8DEE2"/>
      </top>
      <bottom style="thin">
        <color rgb="FFD8DEE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10" fontId="2" fillId="5" borderId="2" xfId="0" applyNumberFormat="1" applyFont="1" applyFill="1" applyBorder="1" applyAlignment="1">
      <alignment horizontal="center" vertical="center" wrapText="1"/>
    </xf>
    <xf numFmtId="2" fontId="2" fillId="5" borderId="2" xfId="0" applyNumberFormat="1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3" fontId="2" fillId="6" borderId="3" xfId="0" applyNumberFormat="1" applyFont="1" applyFill="1" applyBorder="1" applyAlignment="1">
      <alignment horizontal="center" vertical="center" wrapText="1"/>
    </xf>
    <xf numFmtId="10" fontId="2" fillId="6" borderId="3" xfId="0" applyNumberFormat="1" applyFont="1" applyFill="1" applyBorder="1" applyAlignment="1">
      <alignment horizontal="center" vertical="center" wrapText="1"/>
    </xf>
    <xf numFmtId="2" fontId="2" fillId="6" borderId="3" xfId="0" applyNumberFormat="1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3" fontId="2" fillId="5" borderId="3" xfId="0" applyNumberFormat="1" applyFont="1" applyFill="1" applyBorder="1" applyAlignment="1">
      <alignment horizontal="center" vertical="center" wrapText="1"/>
    </xf>
    <xf numFmtId="10" fontId="2" fillId="5" borderId="3" xfId="0" applyNumberFormat="1" applyFont="1" applyFill="1" applyBorder="1" applyAlignment="1">
      <alignment horizontal="center" vertical="center" wrapText="1"/>
    </xf>
    <xf numFmtId="2" fontId="2" fillId="5" borderId="3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showGridLines="0" workbookViewId="0">
      <selection sqref="A1:G1"/>
    </sheetView>
  </sheetViews>
  <sheetFormatPr baseColWidth="10" defaultColWidth="8.83203125" defaultRowHeight="14"/>
  <cols>
    <col min="1" max="1" width="22" customWidth="1"/>
    <col min="2" max="2" width="32" customWidth="1"/>
    <col min="3" max="3" width="16" customWidth="1"/>
    <col min="4" max="4" width="17" customWidth="1"/>
    <col min="5" max="5" width="21" customWidth="1"/>
    <col min="6" max="6" width="18" customWidth="1"/>
    <col min="7" max="7" width="34" customWidth="1"/>
  </cols>
  <sheetData>
    <row r="1" spans="1:7" ht="28" customHeight="1">
      <c r="A1" s="14" t="s">
        <v>40</v>
      </c>
      <c r="B1" s="14" t="s">
        <v>0</v>
      </c>
      <c r="C1" s="14" t="s">
        <v>0</v>
      </c>
      <c r="D1" s="14" t="s">
        <v>0</v>
      </c>
      <c r="E1" s="14" t="s">
        <v>0</v>
      </c>
      <c r="F1" s="14" t="s">
        <v>0</v>
      </c>
      <c r="G1" s="14" t="s">
        <v>0</v>
      </c>
    </row>
    <row r="2" spans="1:7" ht="38" customHeight="1">
      <c r="A2" s="15" t="s">
        <v>1</v>
      </c>
      <c r="B2" s="15" t="s">
        <v>1</v>
      </c>
      <c r="C2" s="15" t="s">
        <v>1</v>
      </c>
      <c r="D2" s="15" t="s">
        <v>1</v>
      </c>
      <c r="E2" s="15" t="s">
        <v>1</v>
      </c>
      <c r="F2" s="15" t="s">
        <v>1</v>
      </c>
      <c r="G2" s="15" t="s">
        <v>1</v>
      </c>
    </row>
    <row r="4" spans="1:7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</row>
    <row r="5" spans="1:7" ht="38" customHeight="1">
      <c r="A5" s="2" t="s">
        <v>41</v>
      </c>
      <c r="B5" s="2" t="s">
        <v>9</v>
      </c>
      <c r="C5" s="3">
        <v>5588</v>
      </c>
      <c r="D5" s="4">
        <f t="shared" ref="D5:D15" si="0">C5/13714</f>
        <v>0.40746682222546304</v>
      </c>
      <c r="E5" s="5">
        <v>877.09450351381099</v>
      </c>
      <c r="F5" s="4">
        <f t="shared" ref="F5:F15" si="1">E5/2136.03257120565</f>
        <v>0.41061850616760431</v>
      </c>
      <c r="G5" s="2" t="s">
        <v>10</v>
      </c>
    </row>
    <row r="6" spans="1:7" ht="38" customHeight="1">
      <c r="A6" s="6" t="s">
        <v>41</v>
      </c>
      <c r="B6" s="6" t="s">
        <v>11</v>
      </c>
      <c r="C6" s="7">
        <v>7223</v>
      </c>
      <c r="D6" s="8">
        <f t="shared" si="0"/>
        <v>0.52668805600116664</v>
      </c>
      <c r="E6" s="9">
        <v>1146.233568361087</v>
      </c>
      <c r="F6" s="8">
        <f t="shared" si="1"/>
        <v>0.53661801969345135</v>
      </c>
      <c r="G6" s="6" t="s">
        <v>10</v>
      </c>
    </row>
    <row r="7" spans="1:7" ht="38" customHeight="1">
      <c r="A7" s="10" t="s">
        <v>41</v>
      </c>
      <c r="B7" s="10" t="s">
        <v>12</v>
      </c>
      <c r="C7" s="11">
        <v>903</v>
      </c>
      <c r="D7" s="12">
        <f t="shared" si="0"/>
        <v>6.5845121773370277E-2</v>
      </c>
      <c r="E7" s="13">
        <v>112.704499330752</v>
      </c>
      <c r="F7" s="12">
        <f t="shared" si="1"/>
        <v>5.2763474138944291E-2</v>
      </c>
      <c r="G7" s="10" t="s">
        <v>10</v>
      </c>
    </row>
    <row r="8" spans="1:7" ht="38" customHeight="1">
      <c r="A8" s="6" t="s">
        <v>13</v>
      </c>
      <c r="B8" s="6" t="s">
        <v>14</v>
      </c>
      <c r="C8" s="7">
        <v>3186</v>
      </c>
      <c r="D8" s="8">
        <f t="shared" si="0"/>
        <v>0.23231733994458217</v>
      </c>
      <c r="E8" s="9">
        <v>500.41521629370902</v>
      </c>
      <c r="F8" s="8">
        <f t="shared" si="1"/>
        <v>0.23427321429432019</v>
      </c>
      <c r="G8" s="6" t="s">
        <v>10</v>
      </c>
    </row>
    <row r="9" spans="1:7" ht="38" customHeight="1">
      <c r="A9" s="10" t="s">
        <v>13</v>
      </c>
      <c r="B9" s="10" t="s">
        <v>15</v>
      </c>
      <c r="C9" s="11">
        <v>66</v>
      </c>
      <c r="D9" s="12">
        <f t="shared" si="0"/>
        <v>4.812600262505469E-3</v>
      </c>
      <c r="E9" s="13">
        <v>10.704296662556001</v>
      </c>
      <c r="F9" s="12">
        <f t="shared" si="1"/>
        <v>5.0112984262754611E-3</v>
      </c>
      <c r="G9" s="10" t="s">
        <v>10</v>
      </c>
    </row>
    <row r="10" spans="1:7" ht="38" customHeight="1">
      <c r="A10" s="6" t="s">
        <v>13</v>
      </c>
      <c r="B10" s="6" t="s">
        <v>16</v>
      </c>
      <c r="C10" s="7">
        <v>2493</v>
      </c>
      <c r="D10" s="8">
        <f t="shared" si="0"/>
        <v>0.18178503718827477</v>
      </c>
      <c r="E10" s="9">
        <v>391.044092714442</v>
      </c>
      <c r="F10" s="8">
        <f t="shared" si="1"/>
        <v>0.18307028553114399</v>
      </c>
      <c r="G10" s="6" t="s">
        <v>10</v>
      </c>
    </row>
    <row r="11" spans="1:7" ht="38" customHeight="1">
      <c r="A11" s="10" t="s">
        <v>13</v>
      </c>
      <c r="B11" s="10" t="s">
        <v>17</v>
      </c>
      <c r="C11" s="11">
        <v>7969</v>
      </c>
      <c r="D11" s="12">
        <f t="shared" si="0"/>
        <v>0.58108502260463757</v>
      </c>
      <c r="E11" s="13">
        <v>1233.868965534959</v>
      </c>
      <c r="F11" s="12">
        <f t="shared" si="1"/>
        <v>0.57764520174826783</v>
      </c>
      <c r="G11" s="10" t="s">
        <v>10</v>
      </c>
    </row>
    <row r="12" spans="1:7" ht="38" customHeight="1">
      <c r="A12" s="6" t="s">
        <v>18</v>
      </c>
      <c r="B12" s="6" t="s">
        <v>42</v>
      </c>
      <c r="C12" s="7">
        <v>2712</v>
      </c>
      <c r="D12" s="8">
        <f t="shared" si="0"/>
        <v>0.19775411987749744</v>
      </c>
      <c r="E12" s="9">
        <v>425.72400144718898</v>
      </c>
      <c r="F12" s="8">
        <f t="shared" si="1"/>
        <v>0.19930595028656128</v>
      </c>
      <c r="G12" s="6" t="s">
        <v>10</v>
      </c>
    </row>
    <row r="13" spans="1:7" ht="38" customHeight="1">
      <c r="A13" s="10" t="s">
        <v>18</v>
      </c>
      <c r="B13" s="10" t="s">
        <v>43</v>
      </c>
      <c r="C13" s="11">
        <v>3033</v>
      </c>
      <c r="D13" s="12">
        <f t="shared" si="0"/>
        <v>0.22116085751786496</v>
      </c>
      <c r="E13" s="13">
        <v>476.43960422351802</v>
      </c>
      <c r="F13" s="12">
        <f t="shared" si="1"/>
        <v>0.22304884796517832</v>
      </c>
      <c r="G13" s="10" t="s">
        <v>10</v>
      </c>
    </row>
    <row r="14" spans="1:7" ht="38" customHeight="1">
      <c r="A14" s="6" t="s">
        <v>18</v>
      </c>
      <c r="B14" s="6" t="s">
        <v>44</v>
      </c>
      <c r="C14" s="7">
        <v>7066</v>
      </c>
      <c r="D14" s="8">
        <f t="shared" si="0"/>
        <v>0.51523990083126736</v>
      </c>
      <c r="E14" s="9">
        <v>1121.1644662041761</v>
      </c>
      <c r="F14" s="8">
        <f t="shared" si="1"/>
        <v>0.52488172760930907</v>
      </c>
      <c r="G14" s="6" t="s">
        <v>10</v>
      </c>
    </row>
    <row r="15" spans="1:7" ht="38" customHeight="1">
      <c r="A15" s="10" t="s">
        <v>18</v>
      </c>
      <c r="B15" s="10" t="s">
        <v>45</v>
      </c>
      <c r="C15" s="11">
        <v>903</v>
      </c>
      <c r="D15" s="12">
        <f t="shared" si="0"/>
        <v>6.5845121773370277E-2</v>
      </c>
      <c r="E15" s="13">
        <v>112.704499330752</v>
      </c>
      <c r="F15" s="12">
        <f t="shared" si="1"/>
        <v>5.2763474138944291E-2</v>
      </c>
      <c r="G15" s="10" t="s">
        <v>10</v>
      </c>
    </row>
    <row r="17" spans="1:7" ht="52" customHeight="1">
      <c r="A17" s="16" t="s">
        <v>19</v>
      </c>
      <c r="B17" s="16" t="s">
        <v>19</v>
      </c>
      <c r="C17" s="16" t="s">
        <v>19</v>
      </c>
      <c r="D17" s="16" t="s">
        <v>19</v>
      </c>
      <c r="E17" s="16" t="s">
        <v>19</v>
      </c>
      <c r="F17" s="16" t="s">
        <v>19</v>
      </c>
      <c r="G17" s="16" t="s">
        <v>19</v>
      </c>
    </row>
  </sheetData>
  <mergeCells count="3">
    <mergeCell ref="A1:G1"/>
    <mergeCell ref="A2:G2"/>
    <mergeCell ref="A17:G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showGridLines="0" workbookViewId="0">
      <selection activeCell="A4" sqref="A4:F8"/>
    </sheetView>
  </sheetViews>
  <sheetFormatPr baseColWidth="10" defaultColWidth="8.83203125" defaultRowHeight="14"/>
  <cols>
    <col min="1" max="1" width="25" customWidth="1"/>
    <col min="2" max="2" width="20" customWidth="1"/>
    <col min="3" max="3" width="18" customWidth="1"/>
    <col min="4" max="4" width="22" customWidth="1"/>
    <col min="5" max="5" width="30" customWidth="1"/>
    <col min="6" max="6" width="19" customWidth="1"/>
  </cols>
  <sheetData>
    <row r="1" spans="1:6" ht="28" customHeight="1">
      <c r="A1" s="14" t="s">
        <v>46</v>
      </c>
      <c r="B1" s="14" t="s">
        <v>20</v>
      </c>
      <c r="C1" s="14" t="s">
        <v>20</v>
      </c>
      <c r="D1" s="14" t="s">
        <v>20</v>
      </c>
      <c r="E1" s="14" t="s">
        <v>20</v>
      </c>
      <c r="F1" s="14" t="s">
        <v>20</v>
      </c>
    </row>
    <row r="2" spans="1:6" ht="38" customHeight="1">
      <c r="A2" s="15" t="s">
        <v>21</v>
      </c>
      <c r="B2" s="15" t="s">
        <v>21</v>
      </c>
      <c r="C2" s="15" t="s">
        <v>21</v>
      </c>
      <c r="D2" s="15" t="s">
        <v>21</v>
      </c>
      <c r="E2" s="15" t="s">
        <v>21</v>
      </c>
      <c r="F2" s="15" t="s">
        <v>21</v>
      </c>
    </row>
    <row r="4" spans="1:6" ht="42" customHeight="1">
      <c r="A4" s="1" t="s">
        <v>47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</row>
    <row r="5" spans="1:6" ht="44" customHeight="1">
      <c r="A5" s="2" t="s">
        <v>9</v>
      </c>
      <c r="B5" s="3">
        <v>2700</v>
      </c>
      <c r="C5" s="3">
        <v>12</v>
      </c>
      <c r="D5" s="3">
        <v>1341</v>
      </c>
      <c r="E5" s="3">
        <v>1535</v>
      </c>
      <c r="F5" s="3">
        <f>SUM(B5:E5)</f>
        <v>5588</v>
      </c>
    </row>
    <row r="6" spans="1:6" ht="44" customHeight="1">
      <c r="A6" s="6" t="s">
        <v>11</v>
      </c>
      <c r="B6" s="7">
        <v>486</v>
      </c>
      <c r="C6" s="7">
        <v>54</v>
      </c>
      <c r="D6" s="7">
        <v>1152</v>
      </c>
      <c r="E6" s="7">
        <v>5531</v>
      </c>
      <c r="F6" s="7">
        <f>SUM(B6:E6)</f>
        <v>7223</v>
      </c>
    </row>
    <row r="7" spans="1:6" ht="44" customHeight="1">
      <c r="A7" s="10" t="s">
        <v>12</v>
      </c>
      <c r="B7" s="11">
        <v>0</v>
      </c>
      <c r="C7" s="11">
        <v>0</v>
      </c>
      <c r="D7" s="11">
        <v>0</v>
      </c>
      <c r="E7" s="11">
        <v>903</v>
      </c>
      <c r="F7" s="11">
        <f>SUM(B7:E7)</f>
        <v>903</v>
      </c>
    </row>
    <row r="8" spans="1:6" ht="44" customHeight="1">
      <c r="A8" s="6" t="s">
        <v>27</v>
      </c>
      <c r="B8" s="7">
        <f>SUM(B5:B7)</f>
        <v>3186</v>
      </c>
      <c r="C8" s="7">
        <f>SUM(C5:C7)</f>
        <v>66</v>
      </c>
      <c r="D8" s="7">
        <f>SUM(D5:D7)</f>
        <v>2493</v>
      </c>
      <c r="E8" s="7">
        <f>SUM(E5:E7)</f>
        <v>7969</v>
      </c>
      <c r="F8" s="7">
        <f>SUM(F5:F7)</f>
        <v>13714</v>
      </c>
    </row>
    <row r="10" spans="1:6" ht="58" customHeight="1">
      <c r="A10" s="16" t="s">
        <v>48</v>
      </c>
      <c r="B10" s="16" t="s">
        <v>49</v>
      </c>
      <c r="C10" s="16" t="s">
        <v>48</v>
      </c>
      <c r="D10" s="16" t="s">
        <v>48</v>
      </c>
      <c r="E10" s="16" t="s">
        <v>48</v>
      </c>
      <c r="F10" s="16" t="s">
        <v>48</v>
      </c>
    </row>
  </sheetData>
  <mergeCells count="3">
    <mergeCell ref="A1:F1"/>
    <mergeCell ref="A2:F2"/>
    <mergeCell ref="A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showGridLines="0" tabSelected="1" workbookViewId="0">
      <selection activeCell="A4" sqref="A4:D7"/>
    </sheetView>
  </sheetViews>
  <sheetFormatPr baseColWidth="10" defaultColWidth="8.83203125" defaultRowHeight="14"/>
  <cols>
    <col min="1" max="1" width="54" customWidth="1"/>
    <col min="2" max="2" width="18" customWidth="1"/>
    <col min="3" max="3" width="43" customWidth="1"/>
    <col min="4" max="4" width="54" customWidth="1"/>
  </cols>
  <sheetData>
    <row r="1" spans="1:4" ht="28" customHeight="1">
      <c r="A1" s="14" t="s">
        <v>28</v>
      </c>
      <c r="B1" s="14" t="s">
        <v>28</v>
      </c>
      <c r="C1" s="14" t="s">
        <v>28</v>
      </c>
      <c r="D1" s="14" t="s">
        <v>28</v>
      </c>
    </row>
    <row r="2" spans="1:4" ht="38" customHeight="1">
      <c r="A2" s="15" t="inlineStr">
        <is>
          <t xml:space="preserve">Classification uses the complete fixed grid. City prediction displays use a centroid-in-city subset; urban-overlap summaries use the full supported reporting population.</t>
        </is>
      </c>
      <c r="B2" s="15" t="s">
        <v>29</v>
      </c>
      <c r="C2" s="15" t="s">
        <v>29</v>
      </c>
      <c r="D2" s="15" t="s">
        <v>29</v>
      </c>
    </row>
    <row r="4" spans="1:4" ht="42" customHeight="1">
      <c r="A4" s="1" t="s">
        <v>30</v>
      </c>
      <c r="B4" s="1" t="s">
        <v>4</v>
      </c>
      <c r="C4" s="1" t="s">
        <v>31</v>
      </c>
      <c r="D4" s="1" t="s">
        <v>23</v>
      </c>
    </row>
    <row r="5" spans="1:4" ht="56" customHeight="1">
      <c r="A5" s="2" t="s">
        <v>32</v>
      </c>
      <c r="B5" s="3">
        <v>13714</v>
      </c>
      <c r="C5" s="2" t="s">
        <v>33</v>
      </c>
      <c r="D5" s="2" t="s">
        <v>34</v>
      </c>
    </row>
    <row r="6" spans="1:4" ht="62" customHeight="1">
      <c r="A6" s="6" t="s">
        <v>35</v>
      </c>
      <c r="B6" s="7">
        <v>12463</v>
      </c>
      <c r="C6" s="6" t="s">
        <v>36</v>
      </c>
      <c r="D6" s="6" t="s">
        <v>37</v>
      </c>
    </row>
    <row r="7" spans="1:4" ht="62" customHeight="1">
      <c r="A7" s="10" t="s">
        <v>50</v>
      </c>
      <c r="B7" s="11">
        <v>5557</v>
      </c>
      <c r="C7" s="10" t="inlineStr">
        <is>
          <t xml:space="preserve">Centroid-in-city prediction maps and area-weighted city trends</t>
        </is>
      </c>
      <c r="D7" s="10" t="inlineStr">
        <is>
          <t xml:space="preserve">Display subset of the 5,745 supported reporting cells; not the denominator for POI overlays or monitoring candidate pools</t>
        </is>
      </c>
    </row>
    <row r="9" spans="1:4" ht="48" customHeight="1">
      <c r="A9" s="16" t="s">
        <v>39</v>
      </c>
      <c r="B9" s="16" t="s">
        <v>39</v>
      </c>
      <c r="C9" s="16" t="s">
        <v>39</v>
      </c>
      <c r="D9" s="16" t="s">
        <v>39</v>
      </c>
    </row>
  </sheetData>
  <mergeCells count="3">
    <mergeCell ref="A1:D1"/>
    <mergeCell ref="A2:D2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City totals</vt:lpstr>
      <vt:lpstr>B PID by AOA</vt:lpstr>
      <vt:lpstr>C Reporting populations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2026-08-12T02:16:23Z</dcterms:modified>
</cp:coreProperties>
</file>