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add9964ad241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 City totals" sheetId="1" r:id="R3881e2127eed4609"/>
    <x:sheet xmlns:r="http://schemas.openxmlformats.org/officeDocument/2006/relationships" name="B PID by AOA" sheetId="2" r:id="R412c67c537ce4f25"/>
    <x:sheet xmlns:r="http://schemas.openxmlformats.org/officeDocument/2006/relationships" name="C Reporting populations" sheetId="3" r:id="R60ec27631eb343cc"/>
  </x:sheets>
</x:workbook>
</file>

<file path=xl/sharedStrings.xml><?xml version="1.0" encoding="utf-8"?>
<x:sst xmlns:x="http://schemas.openxmlformats.org/spreadsheetml/2006/main">
  <x:si>
    <x:t xml:space="preserve">Table S14A. Citywide extent of prediction-interpretation, statistical and combined support classes</x:t>
  </x:si>
  <x:si>
    <x:t xml:space="preserve">Table S14A. Citywide extent of ecological, statistical and combined support classes</x:t>
  </x:si>
  <x:si>
    <x:t xml:space="preserve">HEX percentages use all 13,714 classified cells. Area is the analytical grid clipped to the union of the nine district polygons and is not an official administrative land-area estimate.</x:t>
  </x:si>
  <x:si>
    <x:t xml:space="preserve">Support layer</x:t>
  </x:si>
  <x:si>
    <x:t xml:space="preserve">Class</x:t>
  </x:si>
  <x:si>
    <x:t xml:space="preserve">HEX count</x:t>
  </x:si>
  <x:si>
    <x:t xml:space="preserve">% of HEXes</x:t>
  </x:si>
  <x:si>
    <x:t xml:space="preserve">Clipped area (km²)</x:t>
  </x:si>
  <x:si>
    <x:t xml:space="preserve">% of map area</x:t>
  </x:si>
  <x:si>
    <x:t xml:space="preserve">Denominator</x:t>
  </x:si>
  <x:si>
    <x:t xml:space="preserve">PID</x:t>
  </x:si>
  <x:si>
    <x:t xml:space="preserve">PASS</x:t>
  </x:si>
  <x:si>
    <x:t xml:space="preserve">13,714 HEXes; clipped map area</x:t>
  </x:si>
  <x:si>
    <x:t xml:space="preserve">UNCERTAIN</x:t>
  </x:si>
  <x:si>
    <x:t xml:space="preserve">EXCLUDED</x:t>
  </x:si>
  <x:si>
    <x:t xml:space="preserve">H4 AOA</x:t>
  </x:si>
  <x:si>
    <x:t xml:space="preserve">SUPPORTED</x:t>
  </x:si>
  <x:si>
    <x:t xml:space="preserve">BOUNDARY</x:t>
  </x:si>
  <x:si>
    <x:t xml:space="preserve">EXTRAPOLATED</x:t>
  </x:si>
  <x:si>
    <x:t xml:space="preserve">SEVERELY_UNSUPPORTED</x:t>
  </x:si>
  <x:si>
    <x:t xml:space="preserve">Combined tier</x:t>
  </x:si>
  <x:si>
    <x:t xml:space="preserve">Primary Results</x:t>
  </x:si>
  <x:si>
    <x:t xml:space="preserve">Moderate Extrapolation</x:t>
  </x:si>
  <x:si>
    <x:t xml:space="preserve">Monitoring Gaps</x:t>
  </x:si>
  <x:si>
    <x:t xml:space="preserve">Outside the Reporting Domain</x:t>
  </x:si>
  <x:si>
    <x:t xml:space="preserve">Note. Support labels accompany predictions and are never multiplied into weekly opportunity, calling density or sampled-minute exposure. The class percentages differ slightly between HEX counts and clipped area because boundary HEXes are only partly inside the district union.</x:t>
  </x:si>
  <x:si>
    <x:t xml:space="preserve">Table S14B. Cross-tabulation of PID and H4 AOA</x:t>
  </x:si>
  <x:si>
    <x:t xml:space="preserve">Table S14B. Cross-tabulation of ecological reporting domain and H4 AOA</x:t>
  </x:si>
  <x:si>
    <x:t xml:space="preserve">The two support layers are evaluated independently before their deterministic conversion to the four interpretation tiers.</x:t>
  </x:si>
  <x:si>
    <x:t xml:space="preserve">PID class</x:t>
  </x:si>
  <x:si>
    <x:t xml:space="preserve">Supported</x:t>
  </x:si>
  <x:si>
    <x:t xml:space="preserve">Boundary</x:t>
  </x:si>
  <x:si>
    <x:t xml:space="preserve">Extrapolated</x:t>
  </x:si>
  <x:si>
    <x:t xml:space="preserve">Severely unsupported</x:t>
  </x:si>
  <x:si>
    <x:t xml:space="preserve">Row total</x:t>
  </x:si>
  <x:si>
    <x:t xml:space="preserve">Column total</x:t>
  </x:si>
  <x:si>
    <x:t xml:space="preserve">Note. Primary Results = PASS with Supported or Boundary AOA. Moderate Extrapolation includes reportable Extrapolated cells and Uncertain cells with Supported or Boundary AOA. Monitoring Gaps = reportable but Severely unsupported. Excluded cells remain outside the reporting domain.</x:t>
  </x:si>
  <x:si>
    <x:t xml:space="preserve">Note. Primary Results = PASS with Supported or Boundary AOA. Moderate Extrapolation includes reportable Extrapolated cells and Uncertain cells with Supported or Boundary AOA. Monitoring Gaps = reportable but Severely Unsupported. Excluded cells remain Outside the Reporting Domain.</x:t>
  </x:si>
  <x:si>
    <x:t xml:space="preserve">Table S14C. Classification and display populations</x:t>
  </x:si>
  <x:si>
    <x:t xml:space="preserve">Classification uses the complete fixed grid. Prediction maps and planning summaries additionally apply centroid and interpretation-domain rules.</x:t>
  </x:si>
  <x:si>
    <x:t xml:space="preserve">Population</x:t>
  </x:si>
  <x:si>
    <x:t xml:space="preserve">Use</x:t>
  </x:si>
  <x:si>
    <x:t xml:space="preserve">All classified HEXes</x:t>
  </x:si>
  <x:si>
    <x:t xml:space="preserve">Support-class denominators and Figure S7</x:t>
  </x:si>
  <x:si>
    <x:t xml:space="preserve">Includes edge cells and categorical permanent-water exclusions</x:t>
  </x:si>
  <x:si>
    <x:t xml:space="preserve">Centroid-in-city, excluding categorical permanent water</x:t>
  </x:si>
  <x:si>
    <x:t xml:space="preserve">All-HEX weekly prediction maps and trends</x:t>
  </x:si>
  <x:si>
    <x:t xml:space="preserve">Excludes centroid-outside-city and categorical permanent-water cells</x:t>
  </x:si>
  <x:si>
    <x:t xml:space="preserve">Centroid-in-city Primary Results + Moderate Extrapolation</x:t>
  </x:si>
  <x:si>
    <x:t xml:space="preserve">Planning-facing city summaries in S7-S8</x:t>
  </x:si>
  <x:si>
    <x:t xml:space="preserve">Excludes Monitoring Gaps and Outside the Reporting Domain</x:t>
  </x:si>
  <x:si>
    <x:t xml:space="preserve">Note. The H4 AOA uses only static environmental variables. One AOA and one combined-tier label therefore accompany all 52 annual weeks; no week-specific, majority or worst-week aggregation is used.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</x:si>
</x:sst>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4"/>
      <x:color rgb="FFFFFFFF"/>
      <x:name val="Helvetica"/>
    </x:font>
    <x:font>
      <x:sz val="9"/>
      <x:color rgb="FF25282B"/>
      <x:name val="Helvetica"/>
    </x:font>
    <x:font>
      <x:b/>
      <x:sz val="10"/>
      <x:color rgb="FFFFFFFF"/>
      <x:name val="Helvetica"/>
    </x:font>
    <x:font>
      <x:sz val="8"/>
      <x:color rgb="FF667078"/>
      <x:name val="Helvetica"/>
    </x:font>
  </x:fonts>
  <x:fills count="7">
    <x:fill>
      <x:patternFill patternType="none"/>
    </x:fill>
    <x:fill>
      <x:patternFill patternType="gray125"/>
    </x:fill>
    <x:fill>
      <x:patternFill patternType="solid">
        <x:fgColor rgb="FF075B61"/>
      </x:patternFill>
    </x:fill>
    <x:fill>
      <x:patternFill patternType="solid">
        <x:fgColor rgb="FFDCEEEF"/>
      </x:patternFill>
    </x:fill>
    <x:fill>
      <x:patternFill patternType="solid">
        <x:fgColor rgb="FF0F7C82"/>
      </x:patternFill>
    </x:fill>
    <x:fill>
      <x:patternFill patternType="solid">
        <x:fgColor rgb="FFFFFFFF"/>
      </x:patternFill>
    </x:fill>
    <x:fill>
      <x:patternFill patternType="solid">
        <x:fgColor rgb="FFF5F7F8"/>
      </x:patternFill>
    </x:fill>
  </x:fills>
  <x:borders count="4">
    <x:border/>
    <x:border>
      <x:bottom style="medium">
        <x:color rgb="FF075B61"/>
      </x:bottom>
    </x:border>
    <x:border>
      <x:bottom style="thin">
        <x:color rgb="FFD8DEE2"/>
      </x:bottom>
    </x:border>
    <x:border>
      <x:top style="thin">
        <x:color rgb="FFD8DEE2"/>
      </x:top>
      <x:bottom style="thin">
        <x:color rgb="FFD8DEE2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3" fillId="4" borderId="1" xfId="0" applyFont="1" applyFill="1" applyBorder="1" applyAlignment="1">
      <x:alignment horizontal="center" vertical="center" wrapText="1"/>
    </x:xf>
    <x:xf numFmtId="0" fontId="2" fillId="5" borderId="2" xfId="0" applyFont="1" applyFill="1" applyBorder="1" applyAlignment="1">
      <x:alignment horizontal="center" vertical="center" wrapText="1"/>
    </x:xf>
    <x:xf numFmtId="3" fontId="2" fillId="5" borderId="2" xfId="0" applyNumberFormat="1" applyFont="1" applyFill="1" applyBorder="1" applyAlignment="1">
      <x:alignment horizontal="center" vertical="center" wrapText="1"/>
    </x:xf>
    <x:xf numFmtId="10" fontId="2" fillId="5" borderId="2" xfId="0" applyNumberFormat="1" applyFont="1" applyFill="1" applyBorder="1" applyAlignment="1">
      <x:alignment horizontal="center" vertical="center" wrapText="1"/>
    </x:xf>
    <x:xf numFmtId="2" fontId="2" fillId="5" borderId="2" xfId="0" applyNumberFormat="1" applyFont="1" applyFill="1" applyBorder="1" applyAlignment="1">
      <x:alignment horizontal="center" vertical="center" wrapText="1"/>
    </x:xf>
    <x:xf numFmtId="0" fontId="2" fillId="6" borderId="3" xfId="0" applyFont="1" applyFill="1" applyBorder="1" applyAlignment="1">
      <x:alignment horizontal="center" vertical="center" wrapText="1"/>
    </x:xf>
    <x:xf numFmtId="3" fontId="2" fillId="6" borderId="3" xfId="0" applyNumberFormat="1" applyFont="1" applyFill="1" applyBorder="1" applyAlignment="1">
      <x:alignment horizontal="center" vertical="center" wrapText="1"/>
    </x:xf>
    <x:xf numFmtId="10" fontId="2" fillId="6" borderId="3" xfId="0" applyNumberFormat="1" applyFont="1" applyFill="1" applyBorder="1" applyAlignment="1">
      <x:alignment horizontal="center" vertical="center" wrapText="1"/>
    </x:xf>
    <x:xf numFmtId="2" fontId="2" fillId="6" borderId="3" xfId="0" applyNumberFormat="1" applyFont="1" applyFill="1" applyBorder="1" applyAlignment="1">
      <x:alignment horizontal="center" vertical="center" wrapText="1"/>
    </x:xf>
    <x:xf numFmtId="0" fontId="2" fillId="5" borderId="3" xfId="0" applyFont="1" applyFill="1" applyBorder="1" applyAlignment="1">
      <x:alignment horizontal="center" vertical="center" wrapText="1"/>
    </x:xf>
    <x:xf numFmtId="3" fontId="2" fillId="5" borderId="3" xfId="0" applyNumberFormat="1" applyFont="1" applyFill="1" applyBorder="1" applyAlignment="1">
      <x:alignment horizontal="center" vertical="center" wrapText="1"/>
    </x:xf>
    <x:xf numFmtId="10" fontId="2" fillId="5" borderId="3" xfId="0" applyNumberFormat="1" applyFont="1" applyFill="1" applyBorder="1" applyAlignment="1">
      <x:alignment horizontal="center" vertical="center" wrapText="1"/>
    </x:xf>
    <x:xf numFmtId="2" fontId="2" fillId="5" borderId="3" xfId="0" applyNumberFormat="1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3" borderId="0" xfId="0" applyFont="1" applyFill="1" applyAlignment="1">
      <x:alignment horizontal="left" vertical="center" wrapText="1"/>
    </x:xf>
    <x:xf numFmtId="0" fontId="4" fillId="6" borderId="0" xfId="0" applyFont="1" applyFill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6a21ccb6ce4b2a" /><Relationship Type="http://schemas.openxmlformats.org/officeDocument/2006/relationships/theme" Target="/xl/theme/theme1.xml" Id="Rbbc8edde04ed41cf" /><Relationship Type="http://schemas.openxmlformats.org/officeDocument/2006/relationships/sharedStrings" Target="/xl/sharedStrings.xml" Id="Rde235c48dd264e2f" /><Relationship Type="http://schemas.openxmlformats.org/officeDocument/2006/relationships/worksheet" Target="/xl/worksheets/sheet1.xml" Id="R3881e2127eed4609" /><Relationship Type="http://schemas.openxmlformats.org/officeDocument/2006/relationships/worksheet" Target="/xl/worksheets/sheet2.xml" Id="R412c67c537ce4f25" /><Relationship Type="http://schemas.openxmlformats.org/officeDocument/2006/relationships/worksheet" Target="/xl/worksheets/sheet3.xml" Id="R60ec27631eb343c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2" customWidth="1"/>
    <x:col min="2" max="2" width="32" customWidth="1"/>
    <x:col min="3" max="3" width="16" customWidth="1"/>
    <x:col min="4" max="4" width="17" customWidth="1"/>
    <x:col min="5" max="5" width="21" customWidth="1"/>
    <x:col min="6" max="6" width="18" customWidth="1"/>
    <x:col min="7" max="7" width="34" customWidth="1"/>
  </x:cols>
  <x:sheetData>
    <x:row r="1" ht="28" customHeight="1">
      <x:c r="A1" s="14" t="s">
        <x:v>0</x:v>
      </x:c>
      <x:c r="B1" s="14" t="s">
        <x:v>1</x:v>
      </x:c>
      <x:c r="C1" s="14" t="s">
        <x:v>1</x:v>
      </x:c>
      <x:c r="D1" s="14" t="s">
        <x:v>1</x:v>
      </x:c>
      <x:c r="E1" s="14" t="s">
        <x:v>1</x:v>
      </x:c>
      <x:c r="F1" s="14" t="s">
        <x:v>1</x:v>
      </x:c>
      <x:c r="G1" s="14" t="s">
        <x:v>1</x:v>
      </x:c>
    </x:row>
    <x:row r="2" ht="38" customHeight="1">
      <x:c r="A2" s="15" t="s">
        <x:v>2</x:v>
      </x:c>
      <x:c r="B2" s="15" t="s">
        <x:v>2</x:v>
      </x:c>
      <x:c r="C2" s="15" t="s">
        <x:v>2</x:v>
      </x:c>
      <x:c r="D2" s="15" t="s">
        <x:v>2</x:v>
      </x:c>
      <x:c r="E2" s="15" t="s">
        <x:v>2</x:v>
      </x:c>
      <x:c r="F2" s="15" t="s">
        <x:v>2</x:v>
      </x:c>
      <x:c r="G2" s="15" t="s">
        <x:v>2</x:v>
      </x:c>
    </x:row>
    <x:row r="4" ht="42" customHeight="1">
      <x:c r="A4" s="1" t="s">
        <x:v>3</x:v>
      </x:c>
      <x:c r="B4" s="1" t="s">
        <x:v>4</x:v>
      </x:c>
      <x:c r="C4" s="1" t="s">
        <x:v>5</x:v>
      </x:c>
      <x:c r="D4" s="1" t="s">
        <x:v>6</x:v>
      </x:c>
      <x:c r="E4" s="1" t="s">
        <x:v>7</x:v>
      </x:c>
      <x:c r="F4" s="1" t="s">
        <x:v>8</x:v>
      </x:c>
      <x:c r="G4" s="1" t="s">
        <x:v>9</x:v>
      </x:c>
    </x:row>
    <x:row r="5" ht="38" customHeight="1">
      <x:c r="A5" s="2" t="s">
        <x:v>10</x:v>
      </x:c>
      <x:c r="B5" s="2" t="s">
        <x:v>11</x:v>
      </x:c>
      <x:c r="C5" s="3">
        <x:v>5588</x:v>
      </x:c>
      <x:c r="D5" s="4">
        <x:f t="shared" ref="D5:D15" si="0">C5/13714</x:f>
        <x:v>0.40746682222546304</x:v>
      </x:c>
      <x:c r="E5" s="5">
        <x:v>877.09450351381099</x:v>
      </x:c>
      <x:c r="F5" s="4">
        <x:f t="shared" ref="F5:F15" si="1">E5/2136.03257120565</x:f>
        <x:v>0.41061850616760431</x:v>
      </x:c>
      <x:c r="G5" s="2" t="s">
        <x:v>12</x:v>
      </x:c>
    </x:row>
    <x:row r="6" ht="38" customHeight="1">
      <x:c r="A6" s="6" t="s">
        <x:v>10</x:v>
      </x:c>
      <x:c r="B6" s="6" t="s">
        <x:v>13</x:v>
      </x:c>
      <x:c r="C6" s="7">
        <x:v>7223</x:v>
      </x:c>
      <x:c r="D6" s="8">
        <x:f t="shared" si="0"/>
        <x:v>0.52668805600116664</x:v>
      </x:c>
      <x:c r="E6" s="9">
        <x:v>1146.233568361087</x:v>
      </x:c>
      <x:c r="F6" s="8">
        <x:f t="shared" si="1"/>
        <x:v>0.53661801969345135</x:v>
      </x:c>
      <x:c r="G6" s="6" t="s">
        <x:v>12</x:v>
      </x:c>
    </x:row>
    <x:row r="7" ht="38" customHeight="1">
      <x:c r="A7" s="10" t="s">
        <x:v>10</x:v>
      </x:c>
      <x:c r="B7" s="10" t="s">
        <x:v>14</x:v>
      </x:c>
      <x:c r="C7" s="11">
        <x:v>903</x:v>
      </x:c>
      <x:c r="D7" s="12">
        <x:f t="shared" si="0"/>
        <x:v>6.5845121773370277E-2</x:v>
      </x:c>
      <x:c r="E7" s="13">
        <x:v>112.704499330752</x:v>
      </x:c>
      <x:c r="F7" s="12">
        <x:f t="shared" si="1"/>
        <x:v>5.2763474138944291E-2</x:v>
      </x:c>
      <x:c r="G7" s="10" t="s">
        <x:v>12</x:v>
      </x:c>
    </x:row>
    <x:row r="8" ht="38" customHeight="1">
      <x:c r="A8" s="6" t="s">
        <x:v>15</x:v>
      </x:c>
      <x:c r="B8" s="6" t="s">
        <x:v>16</x:v>
      </x:c>
      <x:c r="C8" s="7">
        <x:v>3186</x:v>
      </x:c>
      <x:c r="D8" s="8">
        <x:f t="shared" si="0"/>
        <x:v>0.23231733994458217</x:v>
      </x:c>
      <x:c r="E8" s="9">
        <x:v>500.41521629370902</x:v>
      </x:c>
      <x:c r="F8" s="8">
        <x:f t="shared" si="1"/>
        <x:v>0.23427321429432019</x:v>
      </x:c>
      <x:c r="G8" s="6" t="s">
        <x:v>12</x:v>
      </x:c>
    </x:row>
    <x:row r="9" ht="38" customHeight="1">
      <x:c r="A9" s="10" t="s">
        <x:v>15</x:v>
      </x:c>
      <x:c r="B9" s="10" t="s">
        <x:v>17</x:v>
      </x:c>
      <x:c r="C9" s="11">
        <x:v>66</x:v>
      </x:c>
      <x:c r="D9" s="12">
        <x:f t="shared" si="0"/>
        <x:v>4.812600262505469E-3</x:v>
      </x:c>
      <x:c r="E9" s="13">
        <x:v>10.704296662556001</x:v>
      </x:c>
      <x:c r="F9" s="12">
        <x:f t="shared" si="1"/>
        <x:v>5.0112984262754611E-3</x:v>
      </x:c>
      <x:c r="G9" s="10" t="s">
        <x:v>12</x:v>
      </x:c>
    </x:row>
    <x:row r="10" ht="38" customHeight="1">
      <x:c r="A10" s="6" t="s">
        <x:v>15</x:v>
      </x:c>
      <x:c r="B10" s="6" t="s">
        <x:v>18</x:v>
      </x:c>
      <x:c r="C10" s="7">
        <x:v>2493</x:v>
      </x:c>
      <x:c r="D10" s="8">
        <x:f t="shared" si="0"/>
        <x:v>0.18178503718827477</x:v>
      </x:c>
      <x:c r="E10" s="9">
        <x:v>391.044092714442</x:v>
      </x:c>
      <x:c r="F10" s="8">
        <x:f t="shared" si="1"/>
        <x:v>0.18307028553114399</x:v>
      </x:c>
      <x:c r="G10" s="6" t="s">
        <x:v>12</x:v>
      </x:c>
    </x:row>
    <x:row r="11" ht="38" customHeight="1">
      <x:c r="A11" s="10" t="s">
        <x:v>15</x:v>
      </x:c>
      <x:c r="B11" s="10" t="s">
        <x:v>19</x:v>
      </x:c>
      <x:c r="C11" s="11">
        <x:v>7969</x:v>
      </x:c>
      <x:c r="D11" s="12">
        <x:f t="shared" si="0"/>
        <x:v>0.58108502260463757</x:v>
      </x:c>
      <x:c r="E11" s="13">
        <x:v>1233.868965534959</x:v>
      </x:c>
      <x:c r="F11" s="12">
        <x:f t="shared" si="1"/>
        <x:v>0.57764520174826783</x:v>
      </x:c>
      <x:c r="G11" s="10" t="s">
        <x:v>12</x:v>
      </x:c>
    </x:row>
    <x:row r="12" ht="38" customHeight="1">
      <x:c r="A12" s="6" t="s">
        <x:v>20</x:v>
      </x:c>
      <x:c r="B12" s="6" t="s">
        <x:v>21</x:v>
      </x:c>
      <x:c r="C12" s="7">
        <x:v>2712</x:v>
      </x:c>
      <x:c r="D12" s="8">
        <x:f t="shared" si="0"/>
        <x:v>0.19775411987749744</x:v>
      </x:c>
      <x:c r="E12" s="9">
        <x:v>425.72400144718898</x:v>
      </x:c>
      <x:c r="F12" s="8">
        <x:f t="shared" si="1"/>
        <x:v>0.19930595028656128</x:v>
      </x:c>
      <x:c r="G12" s="6" t="s">
        <x:v>12</x:v>
      </x:c>
    </x:row>
    <x:row r="13" ht="38" customHeight="1">
      <x:c r="A13" s="10" t="s">
        <x:v>20</x:v>
      </x:c>
      <x:c r="B13" s="10" t="s">
        <x:v>22</x:v>
      </x:c>
      <x:c r="C13" s="11">
        <x:v>3033</x:v>
      </x:c>
      <x:c r="D13" s="12">
        <x:f t="shared" si="0"/>
        <x:v>0.22116085751786496</x:v>
      </x:c>
      <x:c r="E13" s="13">
        <x:v>476.43960422351802</x:v>
      </x:c>
      <x:c r="F13" s="12">
        <x:f t="shared" si="1"/>
        <x:v>0.22304884796517832</x:v>
      </x:c>
      <x:c r="G13" s="10" t="s">
        <x:v>12</x:v>
      </x:c>
    </x:row>
    <x:row r="14" ht="38" customHeight="1">
      <x:c r="A14" s="6" t="s">
        <x:v>20</x:v>
      </x:c>
      <x:c r="B14" s="6" t="s">
        <x:v>23</x:v>
      </x:c>
      <x:c r="C14" s="7">
        <x:v>7066</x:v>
      </x:c>
      <x:c r="D14" s="8">
        <x:f t="shared" si="0"/>
        <x:v>0.51523990083126736</x:v>
      </x:c>
      <x:c r="E14" s="9">
        <x:v>1121.1644662041761</x:v>
      </x:c>
      <x:c r="F14" s="8">
        <x:f t="shared" si="1"/>
        <x:v>0.52488172760930907</x:v>
      </x:c>
      <x:c r="G14" s="6" t="s">
        <x:v>12</x:v>
      </x:c>
    </x:row>
    <x:row r="15" ht="38" customHeight="1">
      <x:c r="A15" s="10" t="s">
        <x:v>20</x:v>
      </x:c>
      <x:c r="B15" s="10" t="s">
        <x:v>24</x:v>
      </x:c>
      <x:c r="C15" s="11">
        <x:v>903</x:v>
      </x:c>
      <x:c r="D15" s="12">
        <x:f t="shared" si="0"/>
        <x:v>6.5845121773370277E-2</x:v>
      </x:c>
      <x:c r="E15" s="13">
        <x:v>112.704499330752</x:v>
      </x:c>
      <x:c r="F15" s="12">
        <x:f t="shared" si="1"/>
        <x:v>5.2763474138944291E-2</x:v>
      </x:c>
      <x:c r="G15" s="10" t="s">
        <x:v>12</x:v>
      </x:c>
    </x:row>
    <x:row r="17" ht="52" customHeight="1">
      <x:c r="A17" s="16" t="s">
        <x:v>25</x:v>
      </x:c>
      <x:c r="B17" s="16" t="s">
        <x:v>25</x:v>
      </x:c>
      <x:c r="C17" s="16" t="s">
        <x:v>25</x:v>
      </x:c>
      <x:c r="D17" s="16" t="s">
        <x:v>25</x:v>
      </x:c>
      <x:c r="E17" s="16" t="s">
        <x:v>25</x:v>
      </x:c>
      <x:c r="F17" s="16" t="s">
        <x:v>25</x:v>
      </x:c>
      <x:c r="G17" s="16" t="s">
        <x:v>25</x:v>
      </x:c>
    </x:row>
  </x:sheetData>
  <x:mergeCells>
    <x:mergeCell ref="A1:G1"/>
    <x:mergeCell ref="A2:G2"/>
    <x:mergeCell ref="A17:G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5" customWidth="1"/>
    <x:col min="2" max="2" width="20" customWidth="1"/>
    <x:col min="3" max="3" width="18" customWidth="1"/>
    <x:col min="4" max="4" width="22" customWidth="1"/>
    <x:col min="5" max="5" width="30" customWidth="1"/>
    <x:col min="6" max="6" width="19" customWidth="1"/>
  </x:cols>
  <x:sheetData>
    <x:row r="1" ht="28" customHeight="1">
      <x:c r="A1" s="14" t="s">
        <x:v>26</x:v>
      </x:c>
      <x:c r="B1" s="14" t="s">
        <x:v>27</x:v>
      </x:c>
      <x:c r="C1" s="14" t="s">
        <x:v>27</x:v>
      </x:c>
      <x:c r="D1" s="14" t="s">
        <x:v>27</x:v>
      </x:c>
      <x:c r="E1" s="14" t="s">
        <x:v>27</x:v>
      </x:c>
      <x:c r="F1" s="14" t="s">
        <x:v>27</x:v>
      </x:c>
    </x:row>
    <x:row r="2" ht="38" customHeight="1">
      <x:c r="A2" s="15" t="s">
        <x:v>28</x:v>
      </x:c>
      <x:c r="B2" s="15" t="s">
        <x:v>28</x:v>
      </x:c>
      <x:c r="C2" s="15" t="s">
        <x:v>28</x:v>
      </x:c>
      <x:c r="D2" s="15" t="s">
        <x:v>28</x:v>
      </x:c>
      <x:c r="E2" s="15" t="s">
        <x:v>28</x:v>
      </x:c>
      <x:c r="F2" s="15" t="s">
        <x:v>28</x:v>
      </x:c>
    </x:row>
    <x:row r="4" ht="42" customHeight="1">
      <x:c r="A4" s="1" t="s">
        <x:v>29</x:v>
      </x:c>
      <x:c r="B4" s="1" t="s">
        <x:v>30</x:v>
      </x:c>
      <x:c r="C4" s="1" t="s">
        <x:v>31</x:v>
      </x:c>
      <x:c r="D4" s="1" t="s">
        <x:v>32</x:v>
      </x:c>
      <x:c r="E4" s="1" t="s">
        <x:v>33</x:v>
      </x:c>
      <x:c r="F4" s="1" t="s">
        <x:v>34</x:v>
      </x:c>
    </x:row>
    <x:row r="5" ht="44" customHeight="1">
      <x:c r="A5" s="2" t="s">
        <x:v>11</x:v>
      </x:c>
      <x:c r="B5" s="3">
        <x:v>2700</x:v>
      </x:c>
      <x:c r="C5" s="3">
        <x:v>12</x:v>
      </x:c>
      <x:c r="D5" s="3">
        <x:v>1341</x:v>
      </x:c>
      <x:c r="E5" s="3">
        <x:v>1535</x:v>
      </x:c>
      <x:c r="F5" s="3">
        <x:f>SUM(B5:E5)</x:f>
        <x:v>5588</x:v>
      </x:c>
    </x:row>
    <x:row r="6" ht="44" customHeight="1">
      <x:c r="A6" s="6" t="s">
        <x:v>13</x:v>
      </x:c>
      <x:c r="B6" s="7">
        <x:v>486</x:v>
      </x:c>
      <x:c r="C6" s="7">
        <x:v>54</x:v>
      </x:c>
      <x:c r="D6" s="7">
        <x:v>1152</x:v>
      </x:c>
      <x:c r="E6" s="7">
        <x:v>5531</x:v>
      </x:c>
      <x:c r="F6" s="7">
        <x:f>SUM(B6:E6)</x:f>
        <x:v>7223</x:v>
      </x:c>
    </x:row>
    <x:row r="7" ht="44" customHeight="1">
      <x:c r="A7" s="10" t="s">
        <x:v>14</x:v>
      </x:c>
      <x:c r="B7" s="11">
        <x:v>0</x:v>
      </x:c>
      <x:c r="C7" s="11">
        <x:v>0</x:v>
      </x:c>
      <x:c r="D7" s="11">
        <x:v>0</x:v>
      </x:c>
      <x:c r="E7" s="11">
        <x:v>903</x:v>
      </x:c>
      <x:c r="F7" s="11">
        <x:f>SUM(B7:E7)</x:f>
        <x:v>903</x:v>
      </x:c>
    </x:row>
    <x:row r="8" ht="44" customHeight="1">
      <x:c r="A8" s="6" t="s">
        <x:v>35</x:v>
      </x:c>
      <x:c r="B8" s="7">
        <x:f>SUM(B5:B7)</x:f>
        <x:v>3186</x:v>
      </x:c>
      <x:c r="C8" s="7">
        <x:f>SUM(C5:C7)</x:f>
        <x:v>66</x:v>
      </x:c>
      <x:c r="D8" s="7">
        <x:f>SUM(D5:D7)</x:f>
        <x:v>2493</x:v>
      </x:c>
      <x:c r="E8" s="7">
        <x:f>SUM(E5:E7)</x:f>
        <x:v>7969</x:v>
      </x:c>
      <x:c r="F8" s="7">
        <x:f>SUM(F5:F7)</x:f>
        <x:v>13714</x:v>
      </x:c>
    </x:row>
    <x:row r="10" ht="58" customHeight="1">
      <x:c r="A10" s="16" t="s">
        <x:v>36</x:v>
      </x:c>
      <x:c r="B10" s="16" t="s">
        <x:v>37</x:v>
      </x:c>
      <x:c r="C10" s="16" t="s">
        <x:v>36</x:v>
      </x:c>
      <x:c r="D10" s="16" t="s">
        <x:v>36</x:v>
      </x:c>
      <x:c r="E10" s="16" t="s">
        <x:v>36</x:v>
      </x:c>
      <x:c r="F10" s="16" t="s">
        <x:v>36</x:v>
      </x:c>
    </x:row>
  </x:sheetData>
  <x:mergeCells>
    <x:mergeCell ref="A1:F1"/>
    <x:mergeCell ref="A2:F2"/>
    <x:mergeCell ref="A10:F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54" customWidth="1"/>
    <x:col min="2" max="2" width="18" customWidth="1"/>
    <x:col min="3" max="3" width="43" customWidth="1"/>
    <x:col min="4" max="4" width="54" customWidth="1"/>
  </x:cols>
  <x:sheetData>
    <x:row r="1" ht="28" customHeight="1">
      <x:c r="A1" s="14" t="s">
        <x:v>38</x:v>
      </x:c>
      <x:c r="B1" s="14" t="s">
        <x:v>38</x:v>
      </x:c>
      <x:c r="C1" s="14" t="s">
        <x:v>38</x:v>
      </x:c>
      <x:c r="D1" s="14" t="s">
        <x:v>38</x:v>
      </x:c>
    </x:row>
    <x:row r="2" ht="38" customHeight="1">
      <x:c r="A2" s="15" t="s">
        <x:v>39</x:v>
      </x:c>
      <x:c r="B2" s="15" t="s">
        <x:v>39</x:v>
      </x:c>
      <x:c r="C2" s="15" t="s">
        <x:v>39</x:v>
      </x:c>
      <x:c r="D2" s="15" t="s">
        <x:v>39</x:v>
      </x:c>
    </x:row>
    <x:row r="4" ht="42" customHeight="1">
      <x:c r="A4" s="1" t="s">
        <x:v>40</x:v>
      </x:c>
      <x:c r="B4" s="1" t="s">
        <x:v>5</x:v>
      </x:c>
      <x:c r="C4" s="1" t="s">
        <x:v>41</x:v>
      </x:c>
      <x:c r="D4" s="1" t="s">
        <x:v>31</x:v>
      </x:c>
    </x:row>
    <x:row r="5" ht="56" customHeight="1">
      <x:c r="A5" s="2" t="s">
        <x:v>42</x:v>
      </x:c>
      <x:c r="B5" s="3">
        <x:v>13714</x:v>
      </x:c>
      <x:c r="C5" s="2" t="s">
        <x:v>43</x:v>
      </x:c>
      <x:c r="D5" s="2" t="s">
        <x:v>44</x:v>
      </x:c>
    </x:row>
    <x:row r="6" ht="62" customHeight="1">
      <x:c r="A6" s="6" t="s">
        <x:v>45</x:v>
      </x:c>
      <x:c r="B6" s="7">
        <x:v>12463</x:v>
      </x:c>
      <x:c r="C6" s="6" t="s">
        <x:v>46</x:v>
      </x:c>
      <x:c r="D6" s="6" t="s">
        <x:v>47</x:v>
      </x:c>
    </x:row>
    <x:row r="7" ht="62" customHeight="1">
      <x:c r="A7" s="10" t="s">
        <x:v>48</x:v>
      </x:c>
      <x:c r="B7" s="11">
        <x:v>5557</x:v>
      </x:c>
      <x:c r="C7" s="10" t="s">
        <x:v>49</x:v>
      </x:c>
      <x:c r="D7" s="10" t="s">
        <x:v>50</x:v>
      </x:c>
    </x:row>
    <x:row r="9" ht="48" customHeight="1">
      <x:c r="A9" s="16" t="s">
        <x:v>51</x:v>
      </x:c>
      <x:c r="B9" s="16" t="s">
        <x:v>51</x:v>
      </x:c>
      <x:c r="C9" s="16" t="s">
        <x:v>51</x:v>
      </x:c>
      <x:c r="D9" s="16" t="s">
        <x:v>51</x:v>
      </x:c>
    </x:row>
  </x:sheetData>
  <x:mergeCells>
    <x:mergeCell ref="A1:D1"/>
    <x:mergeCell ref="A2:D2"/>
    <x:mergeCell ref="A9:D9"/>
  </x:mergeCells>
  <x:pageMargins left="0.7" right="0.7" top="0.75" bottom="0.75" header="0.3" footer="0.3"/>
</x:worksheet>
</file>