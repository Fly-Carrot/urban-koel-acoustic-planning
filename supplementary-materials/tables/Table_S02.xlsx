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3B2BE8C7-8A06-E74F-88B0-86C4E3EA15D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able 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0" i="1"/>
  <c r="C9" i="1"/>
  <c r="C6" i="1"/>
</calcChain>
</file>

<file path=xl/sharedStrings.xml><?xml version="1.0" encoding="utf-8"?>
<sst xmlns="http://schemas.openxmlformats.org/spreadsheetml/2006/main" count="43" uniqueCount="43">
  <si>
    <t>Table S2. Reconciliation of acoustic effort and the daily detection-history response.</t>
  </si>
  <si>
    <t>Quantity</t>
  </si>
  <si>
    <t>Definition</t>
  </si>
  <si>
    <t>Value</t>
  </si>
  <si>
    <t>Relationship to the fitted response</t>
  </si>
  <si>
    <t>Monitoring locations</t>
  </si>
  <si>
    <t>Distinct physical monitoring stations</t>
  </si>
  <si>
    <t>Site dimension</t>
  </si>
  <si>
    <t>Indexed sampling weeks</t>
  </si>
  <si>
    <t>Observed weekly indices retained with their actual calendar dates</t>
  </si>
  <si>
    <t>Week dimension; not assumed to be consecutive</t>
  </si>
  <si>
    <t>Potential station-day cells</t>
  </si>
  <si>
    <t>31 monitoring locations × 68 indexed weeks × 7 calendar days</t>
  </si>
  <si>
    <t>Complete response-array size</t>
  </si>
  <si>
    <t>Effort-confirmed station-days</t>
  </si>
  <si>
    <t>Days with usable audio entering the fitted response</t>
  </si>
  <si>
    <t>Positive or valid non-detection</t>
  </si>
  <si>
    <t>Koel-positive station-days</t>
  </si>
  <si>
    <t>Effort-confirmed days with at least one retained Asian Koel detection</t>
  </si>
  <si>
    <t>Daily detection = 1</t>
  </si>
  <si>
    <t>Valid non-detection station-days</t>
  </si>
  <si>
    <t>Effort-confirmed days without a retained Asian Koel detection</t>
  </si>
  <si>
    <t>Daily detection = 0</t>
  </si>
  <si>
    <t>Missing station-day cells</t>
  </si>
  <si>
    <t>Cells without usable recording effort</t>
  </si>
  <si>
    <t>Retained as missing, not absence</t>
  </si>
  <si>
    <t>Represented station-weeks</t>
  </si>
  <si>
    <t>Station-week combinations containing at least one effort-confirmed survey day</t>
  </si>
  <si>
    <t>Weekly analytical support</t>
  </si>
  <si>
    <t>Sampled-minute opportunities</t>
  </si>
  <si>
    <t>Minute-indexed recording opportunities entering the fitted response</t>
  </si>
  <si>
    <t>Effort denominator</t>
  </si>
  <si>
    <t>Koel-positive sampled minutes</t>
  </si>
  <si>
    <t>Sampled minutes containing at least one retained Asian Koel detection</t>
  </si>
  <si>
    <t>Calling-density numerator</t>
  </si>
  <si>
    <t>Retained zero-bird-event effort days</t>
  </si>
  <si>
    <t>Effort-confirmed days with no detected bird event</t>
  </si>
  <si>
    <t>Subset of valid non-detections</t>
  </si>
  <si>
    <t>Arithmetic check</t>
  </si>
  <si>
    <t>Koel-positive + valid non-detection + missing station-days</t>
  </si>
  <si>
    <t>Must equal potential station-day cells</t>
  </si>
  <si>
    <t>Note. The response-array identity is 2,682 positive + 7,230 non-detection + 4,844 missing = 14,756 potential station-days. Zero-bird-event effort days are included within valid non-detections, not missing surveys.</t>
  </si>
  <si>
    <t>The 68 indexed sampling weeks retain their actual calendar dates and are not assumed to be consecutive. The 42-day difference between week starts 20 January and 3 March 2025 is preserved rather than interpolated.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</si>
</sst>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Helvetica"/>
    </font>
    <font>
      <sz val="11"/>
      <color rgb="FF202124"/>
      <name val="Helvetica"/>
      <family val="2"/>
    </font>
    <font>
      <b/>
      <sz val="11"/>
      <color rgb="FF202124"/>
      <name val="Helvetica"/>
      <family val="2"/>
    </font>
    <font>
      <i/>
      <sz val="11"/>
      <color rgb="FF555B6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CEF"/>
      </patternFill>
    </fill>
  </fills>
  <borders count="3">
    <border>
      <left/>
      <right/>
      <top/>
      <bottom/>
      <diagonal/>
    </border>
    <border>
      <left/>
      <right/>
      <top style="thin">
        <color rgb="FF202124"/>
      </top>
      <bottom style="thin">
        <color rgb="FF202124"/>
      </bottom>
      <diagonal/>
    </border>
    <border>
      <left/>
      <right/>
      <top/>
      <bottom style="thin">
        <color rgb="FFA7ADB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tabSelected="1" workbookViewId="0">
      <selection activeCell="A3" sqref="A3:D15"/>
    </sheetView>
  </sheetViews>
  <sheetFormatPr baseColWidth="10" defaultColWidth="8.83203125" defaultRowHeight="15"/>
  <cols>
    <col min="1" max="1" width="27" customWidth="1"/>
    <col min="2" max="2" width="48" customWidth="1"/>
    <col min="3" max="3" width="15" customWidth="1"/>
    <col min="4" max="4" width="32" customWidth="1"/>
  </cols>
  <sheetData>
    <row r="1" spans="1:4" ht="32" customHeight="1">
      <c r="A1" s="3" t="s">
        <v>0</v>
      </c>
      <c r="B1" s="3"/>
      <c r="C1" s="3"/>
      <c r="D1" s="3"/>
    </row>
    <row r="2" spans="1:4">
      <c r="A2" s="1"/>
      <c r="B2" s="1"/>
      <c r="C2" s="1"/>
      <c r="D2" s="1"/>
    </row>
    <row r="3" spans="1:4" ht="38" customHeight="1">
      <c r="A3" s="2" t="s">
        <v>1</v>
      </c>
      <c r="B3" s="2" t="s">
        <v>2</v>
      </c>
      <c r="C3" s="2" t="s">
        <v>3</v>
      </c>
      <c r="D3" s="2" t="s">
        <v>4</v>
      </c>
    </row>
    <row r="4" spans="1:4" ht="34" customHeight="1">
      <c r="A4" s="5" t="s">
        <v>5</v>
      </c>
      <c r="B4" s="5" t="s">
        <v>6</v>
      </c>
      <c r="C4" s="6">
        <v>31</v>
      </c>
      <c r="D4" s="5" t="s">
        <v>7</v>
      </c>
    </row>
    <row r="5" spans="1:4" ht="34" customHeight="1">
      <c r="A5" s="5" t="s">
        <v>8</v>
      </c>
      <c r="B5" s="5" t="s">
        <v>9</v>
      </c>
      <c r="C5" s="6">
        <v>68</v>
      </c>
      <c r="D5" s="5" t="s">
        <v>10</v>
      </c>
    </row>
    <row r="6" spans="1:4" ht="34" customHeight="1">
      <c r="A6" s="5" t="s">
        <v>11</v>
      </c>
      <c r="B6" s="5" t="s">
        <v>12</v>
      </c>
      <c r="C6" s="6">
        <f>C4*C5*7</f>
        <v>14756</v>
      </c>
      <c r="D6" s="5" t="s">
        <v>13</v>
      </c>
    </row>
    <row r="7" spans="1:4" ht="34" customHeight="1">
      <c r="A7" s="5" t="s">
        <v>14</v>
      </c>
      <c r="B7" s="5" t="s">
        <v>15</v>
      </c>
      <c r="C7" s="6">
        <v>9912</v>
      </c>
      <c r="D7" s="5" t="s">
        <v>16</v>
      </c>
    </row>
    <row r="8" spans="1:4" ht="34" customHeight="1">
      <c r="A8" s="5" t="s">
        <v>17</v>
      </c>
      <c r="B8" s="5" t="s">
        <v>18</v>
      </c>
      <c r="C8" s="6">
        <v>2682</v>
      </c>
      <c r="D8" s="5" t="s">
        <v>19</v>
      </c>
    </row>
    <row r="9" spans="1:4" ht="34" customHeight="1">
      <c r="A9" s="5" t="s">
        <v>20</v>
      </c>
      <c r="B9" s="5" t="s">
        <v>21</v>
      </c>
      <c r="C9" s="6">
        <f>C7-C8</f>
        <v>7230</v>
      </c>
      <c r="D9" s="5" t="s">
        <v>22</v>
      </c>
    </row>
    <row r="10" spans="1:4" ht="34" customHeight="1">
      <c r="A10" s="5" t="s">
        <v>23</v>
      </c>
      <c r="B10" s="5" t="s">
        <v>24</v>
      </c>
      <c r="C10" s="6">
        <f>C6-C7</f>
        <v>4844</v>
      </c>
      <c r="D10" s="5" t="s">
        <v>25</v>
      </c>
    </row>
    <row r="11" spans="1:4" ht="34" customHeight="1">
      <c r="A11" s="5" t="s">
        <v>26</v>
      </c>
      <c r="B11" s="5" t="s">
        <v>27</v>
      </c>
      <c r="C11" s="6">
        <v>1500</v>
      </c>
      <c r="D11" s="5" t="s">
        <v>28</v>
      </c>
    </row>
    <row r="12" spans="1:4" ht="34" customHeight="1">
      <c r="A12" s="5" t="s">
        <v>29</v>
      </c>
      <c r="B12" s="5" t="s">
        <v>30</v>
      </c>
      <c r="C12" s="6">
        <v>1398905</v>
      </c>
      <c r="D12" s="5" t="s">
        <v>31</v>
      </c>
    </row>
    <row r="13" spans="1:4" ht="34" customHeight="1">
      <c r="A13" s="5" t="s">
        <v>32</v>
      </c>
      <c r="B13" s="5" t="s">
        <v>33</v>
      </c>
      <c r="C13" s="6">
        <v>10127</v>
      </c>
      <c r="D13" s="5" t="s">
        <v>34</v>
      </c>
    </row>
    <row r="14" spans="1:4" ht="34" customHeight="1">
      <c r="A14" s="7" t="s">
        <v>35</v>
      </c>
      <c r="B14" s="7" t="s">
        <v>36</v>
      </c>
      <c r="C14" s="8">
        <v>350</v>
      </c>
      <c r="D14" s="7" t="s">
        <v>37</v>
      </c>
    </row>
    <row r="15" spans="1:4" ht="34" customHeight="1">
      <c r="A15" s="9" t="s">
        <v>38</v>
      </c>
      <c r="B15" s="9" t="s">
        <v>39</v>
      </c>
      <c r="C15" s="10">
        <f>C8+C9+C10</f>
        <v>14756</v>
      </c>
      <c r="D15" s="9" t="s">
        <v>40</v>
      </c>
    </row>
    <row r="16" spans="1:4">
      <c r="A16" s="1"/>
      <c r="B16" s="1"/>
      <c r="C16" s="1"/>
      <c r="D16" s="1"/>
    </row>
    <row r="17" spans="1:4" ht="42" customHeight="1">
      <c r="A17" s="4" t="s">
        <v>41</v>
      </c>
      <c r="B17" s="4"/>
      <c r="C17" s="4"/>
      <c r="D17" s="4"/>
    </row>
    <row r="18" spans="1:4" ht="42" customHeight="1">
      <c r="A18" s="4" t="s">
        <v>42</v>
      </c>
      <c r="B18" s="4"/>
      <c r="C18" s="4"/>
      <c r="D18" s="4"/>
    </row>
  </sheetData>
  <mergeCells count="3">
    <mergeCell ref="A1:D1"/>
    <mergeCell ref="A17:D17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2026-08-03T07:44:37Z</dcterms:modified>
</cp:coreProperties>
</file>