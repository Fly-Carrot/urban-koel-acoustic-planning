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5be7ff9c3e46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ble S2" sheetId="1" r:id="R56a243b6fb9c4143"/>
  </x:sheets>
</x:workbook>
</file>

<file path=xl/sharedStrings.xml><?xml version="1.0" encoding="utf-8"?>
<x:sst xmlns:x="http://schemas.openxmlformats.org/spreadsheetml/2006/main">
  <x:si>
    <x:t xml:space="preserve">Table S2. Reconciliation of acoustic effort and the daily detection-history response.</x:t>
  </x:si>
  <x:si>
    <x:t xml:space="preserve">Quantity</x:t>
  </x:si>
  <x:si>
    <x:t xml:space="preserve">Definition</x:t>
  </x:si>
  <x:si>
    <x:t xml:space="preserve">Value</x:t>
  </x:si>
  <x:si>
    <x:t xml:space="preserve">Relationship to the fitted response</x:t>
  </x:si>
  <x:si>
    <x:t xml:space="preserve">Monitoring locations</x:t>
  </x:si>
  <x:si>
    <x:t xml:space="preserve">Distinct physical monitoring stations</x:t>
  </x:si>
  <x:si>
    <x:t xml:space="preserve">Site dimension</x:t>
  </x:si>
  <x:si>
    <x:t xml:space="preserve">Indexed sampling weeks</x:t>
  </x:si>
  <x:si>
    <x:t xml:space="preserve">Observed weekly indices retained with their actual calendar dates</x:t>
  </x:si>
  <x:si>
    <x:t xml:space="preserve">Week dimension; not assumed to be consecutive</x:t>
  </x:si>
  <x:si>
    <x:t xml:space="preserve">Potential station-day cells</x:t>
  </x:si>
  <x:si>
    <x:t xml:space="preserve">31 monitoring locations × 68 indexed weeks × 7 calendar days</x:t>
  </x:si>
  <x:si>
    <x:t xml:space="preserve">Complete response-array size</x:t>
  </x:si>
  <x:si>
    <x:t xml:space="preserve">Effort-confirmed station-days</x:t>
  </x:si>
  <x:si>
    <x:t xml:space="preserve">Days with usable audio entering the fitted response</x:t>
  </x:si>
  <x:si>
    <x:t xml:space="preserve">Positive or valid non-detection</x:t>
  </x:si>
  <x:si>
    <x:t xml:space="preserve">Koel-positive station-days</x:t>
  </x:si>
  <x:si>
    <x:t xml:space="preserve">Effort-confirmed days with at least one retained Asian Koel detection</x:t>
  </x:si>
  <x:si>
    <x:t xml:space="preserve">Daily detection = 1</x:t>
  </x:si>
  <x:si>
    <x:t xml:space="preserve">Valid non-detection station-days</x:t>
  </x:si>
  <x:si>
    <x:t xml:space="preserve">Effort-confirmed days without a retained Asian Koel detection</x:t>
  </x:si>
  <x:si>
    <x:t xml:space="preserve">Daily detection = 0</x:t>
  </x:si>
  <x:si>
    <x:t xml:space="preserve">Missing station-day cells</x:t>
  </x:si>
  <x:si>
    <x:t xml:space="preserve">Cells without usable recording effort</x:t>
  </x:si>
  <x:si>
    <x:t xml:space="preserve">Retained as missing, not absence</x:t>
  </x:si>
  <x:si>
    <x:t xml:space="preserve">Represented station-weeks</x:t>
  </x:si>
  <x:si>
    <x:t xml:space="preserve">Station-week combinations containing at least one effort-confirmed survey day</x:t>
  </x:si>
  <x:si>
    <x:t xml:space="preserve">Weekly analytical support</x:t>
  </x:si>
  <x:si>
    <x:t xml:space="preserve">Sampled-minute opportunities</x:t>
  </x:si>
  <x:si>
    <x:t xml:space="preserve">Minute-indexed recording opportunities entering the fitted response</x:t>
  </x:si>
  <x:si>
    <x:t xml:space="preserve">Effort denominator</x:t>
  </x:si>
  <x:si>
    <x:t xml:space="preserve">Koel-positive sampled minutes</x:t>
  </x:si>
  <x:si>
    <x:t xml:space="preserve">Sampled minutes containing at least one retained Asian Koel detection</x:t>
  </x:si>
  <x:si>
    <x:t xml:space="preserve">Calling-density numerator</x:t>
  </x:si>
  <x:si>
    <x:t xml:space="preserve">Retained zero-bird-event effort days</x:t>
  </x:si>
  <x:si>
    <x:t xml:space="preserve">Effort-confirmed days with no detected bird event</x:t>
  </x:si>
  <x:si>
    <x:t xml:space="preserve">Subset of valid non-detections</x:t>
  </x:si>
  <x:si>
    <x:t xml:space="preserve">Arithmetic check</x:t>
  </x:si>
  <x:si>
    <x:t xml:space="preserve">Koel-positive + valid non-detection + missing station-days</x:t>
  </x:si>
  <x:si>
    <x:t xml:space="preserve">Must equal potential station-day cells</x:t>
  </x:si>
  <x:si>
    <x:t xml:space="preserve">Note. The response-array identity is 2,682 positive + 7,230 non-detection + 4,844 missing = 14,756 potential station-days. Zero-bird-event effort days are included within valid non-detections, not missing surveys.</x:t>
  </x:si>
  <x:si>
    <x:t xml:space="preserve">The 68 indexed sampling weeks retain their actual calendar dates and are not assumed to be consecutive. The 42-day difference between week starts 20 January and 3 March 2025 is preserved rather than interpolated.</x:t>
  </x:si>
</x:sst>
</file>

<file path=xl/styles.xml><?xml version="1.0" encoding="utf-8"?>
<x:styleSheet xmlns:x="http://schemas.openxmlformats.org/spreadsheetml/2006/main">
  <x:fonts count="4">
    <x:font>
      <x:sz val="11"/>
      <x:name val="Helvetica"/>
    </x:font>
    <x:font>
      <x:sz val="11"/>
      <x:color rgb="FF202124"/>
      <x:name val="Helvetica"/>
    </x:font>
    <x:font>
      <x:b/>
      <x:sz val="11"/>
      <x:color rgb="FF202124"/>
      <x:name val="Helvetica"/>
    </x:font>
    <x:font>
      <x:i/>
      <x:sz val="11"/>
      <x:color rgb="FF555B61"/>
      <x:name val="Helvetica"/>
    </x:font>
  </x:fonts>
  <x:fills count="4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E9ECEF"/>
      </x:patternFill>
    </x:fill>
  </x:fills>
  <x:borders count="3">
    <x:border/>
    <x:border>
      <x:top style="thin">
        <x:color rgb="FF202124"/>
      </x:top>
      <x:bottom style="thin">
        <x:color rgb="FF202124"/>
      </x:bottom>
    </x:border>
    <x:border>
      <x:bottom style="thin">
        <x:color rgb="FFA7ADB3"/>
      </x:bottom>
    </x:border>
  </x:borders>
  <x:cellStyleXfs count="1">
    <x:xf numFmtId="0" fontId="0" fillId="0" borderId="0"/>
  </x:cellStyleXfs>
  <x:cellXfs count="11">
    <x:xf numFmtId="0" fontId="0" fillId="0" borderId="0" xfId="0"/>
    <x:xf numFmtId="0" fontId="1" fillId="2" borderId="0" xfId="0" applyFont="1" applyFill="1" applyAlignment="1">
      <x:alignment vertical="center"/>
    </x:xf>
    <x:xf numFmtId="0" fontId="2" fillId="3" borderId="1" xfId="0" applyFont="1" applyFill="1" applyBorder="1" applyAlignment="1">
      <x:alignment horizontal="center" vertical="center" wrapText="1"/>
    </x:xf>
    <x:xf numFmtId="0" fontId="2" fillId="2" borderId="0" xfId="0" applyFont="1" applyFill="1" applyAlignment="1">
      <x:alignment horizontal="left" vertical="center" wrapText="1"/>
    </x:xf>
    <x:xf numFmtId="0" fontId="3" fillId="2" borderId="0" xfId="0" applyFont="1" applyFill="1" applyAlignment="1">
      <x:alignment horizontal="left" vertical="center" wrapText="1"/>
    </x:xf>
    <x:xf numFmtId="0" fontId="1" fillId="2" borderId="0" xfId="0" applyFont="1" applyFill="1" applyAlignment="1">
      <x:alignment horizontal="center" vertical="center" wrapText="1"/>
    </x:xf>
    <x:xf numFmtId="3" fontId="1" fillId="2" borderId="0" xfId="0" applyNumberFormat="1" applyFont="1" applyFill="1" applyAlignment="1">
      <x:alignment horizontal="center" vertical="center" wrapText="1"/>
    </x:xf>
    <x:xf numFmtId="0" fontId="1" fillId="2" borderId="2" xfId="0" applyFont="1" applyFill="1" applyBorder="1" applyAlignment="1">
      <x:alignment horizontal="center" vertical="center" wrapText="1"/>
    </x:xf>
    <x:xf numFmtId="3" fontId="1" fillId="2" borderId="2" xfId="0" applyNumberFormat="1" applyFont="1" applyFill="1" applyBorder="1" applyAlignment="1">
      <x:alignment horizontal="center" vertical="center" wrapText="1"/>
    </x:xf>
    <x:xf numFmtId="0" fontId="2" fillId="2" borderId="1" xfId="0" applyFont="1" applyFill="1" applyBorder="1" applyAlignment="1">
      <x:alignment horizontal="center" vertical="center" wrapText="1"/>
    </x:xf>
    <x:xf numFmtId="3" fontId="2" fillId="2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f6936d288a4041" /><Relationship Type="http://schemas.openxmlformats.org/officeDocument/2006/relationships/theme" Target="/xl/theme/theme1.xml" Id="R0a7d53d67dca4196" /><Relationship Type="http://schemas.openxmlformats.org/officeDocument/2006/relationships/sharedStrings" Target="/xl/sharedStrings.xml" Id="R242461d2e2054e6a" /><Relationship Type="http://schemas.openxmlformats.org/officeDocument/2006/relationships/worksheet" Target="/xl/worksheets/sheet1.xml" Id="R56a243b6fb9c414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27" customWidth="1"/>
    <x:col min="2" max="2" width="48" customWidth="1"/>
    <x:col min="3" max="3" width="15" customWidth="1"/>
    <x:col min="4" max="4" width="32" customWidth="1"/>
  </x:cols>
  <x:sheetData>
    <x:row r="1" ht="32" customHeight="1">
      <x:c r="A1" s="3" t="s">
        <x:v>0</x:v>
      </x:c>
      <x:c r="B1" s="3"/>
      <x:c r="C1" s="3"/>
      <x:c r="D1" s="3"/>
    </x:row>
    <x:row r="2">
      <x:c r="A2" s="1"/>
      <x:c r="B2" s="1"/>
      <x:c r="C2" s="1"/>
      <x:c r="D2" s="1"/>
    </x:row>
    <x:row r="3" ht="38" customHeight="1">
      <x:c r="A3" s="2" t="s">
        <x:v>1</x:v>
      </x:c>
      <x:c r="B3" s="2" t="s">
        <x:v>2</x:v>
      </x:c>
      <x:c r="C3" s="2" t="s">
        <x:v>3</x:v>
      </x:c>
      <x:c r="D3" s="2" t="s">
        <x:v>4</x:v>
      </x:c>
    </x:row>
    <x:row r="4" ht="34" customHeight="1">
      <x:c r="A4" s="5" t="s">
        <x:v>5</x:v>
      </x:c>
      <x:c r="B4" s="5" t="s">
        <x:v>6</x:v>
      </x:c>
      <x:c r="C4" s="6">
        <x:v>31</x:v>
      </x:c>
      <x:c r="D4" s="5" t="s">
        <x:v>7</x:v>
      </x:c>
    </x:row>
    <x:row r="5" ht="34" customHeight="1">
      <x:c r="A5" s="5" t="s">
        <x:v>8</x:v>
      </x:c>
      <x:c r="B5" s="5" t="s">
        <x:v>9</x:v>
      </x:c>
      <x:c r="C5" s="6">
        <x:v>68</x:v>
      </x:c>
      <x:c r="D5" s="5" t="s">
        <x:v>10</x:v>
      </x:c>
    </x:row>
    <x:row r="6" ht="34" customHeight="1">
      <x:c r="A6" s="5" t="s">
        <x:v>11</x:v>
      </x:c>
      <x:c r="B6" s="5" t="s">
        <x:v>12</x:v>
      </x:c>
      <x:c r="C6" s="6">
        <x:f>C4*C5*7</x:f>
        <x:v>14756</x:v>
      </x:c>
      <x:c r="D6" s="5" t="s">
        <x:v>13</x:v>
      </x:c>
    </x:row>
    <x:row r="7" ht="34" customHeight="1">
      <x:c r="A7" s="5" t="s">
        <x:v>14</x:v>
      </x:c>
      <x:c r="B7" s="5" t="s">
        <x:v>15</x:v>
      </x:c>
      <x:c r="C7" s="6">
        <x:v>9912</x:v>
      </x:c>
      <x:c r="D7" s="5" t="s">
        <x:v>16</x:v>
      </x:c>
    </x:row>
    <x:row r="8" ht="34" customHeight="1">
      <x:c r="A8" s="5" t="s">
        <x:v>17</x:v>
      </x:c>
      <x:c r="B8" s="5" t="s">
        <x:v>18</x:v>
      </x:c>
      <x:c r="C8" s="6">
        <x:v>2682</x:v>
      </x:c>
      <x:c r="D8" s="5" t="s">
        <x:v>19</x:v>
      </x:c>
    </x:row>
    <x:row r="9" ht="34" customHeight="1">
      <x:c r="A9" s="5" t="s">
        <x:v>20</x:v>
      </x:c>
      <x:c r="B9" s="5" t="s">
        <x:v>21</x:v>
      </x:c>
      <x:c r="C9" s="6">
        <x:f>C7-C8</x:f>
        <x:v>7230</x:v>
      </x:c>
      <x:c r="D9" s="5" t="s">
        <x:v>22</x:v>
      </x:c>
    </x:row>
    <x:row r="10" ht="34" customHeight="1">
      <x:c r="A10" s="5" t="s">
        <x:v>23</x:v>
      </x:c>
      <x:c r="B10" s="5" t="s">
        <x:v>24</x:v>
      </x:c>
      <x:c r="C10" s="6">
        <x:f>C6-C7</x:f>
        <x:v>4844</x:v>
      </x:c>
      <x:c r="D10" s="5" t="s">
        <x:v>25</x:v>
      </x:c>
    </x:row>
    <x:row r="11" ht="34" customHeight="1">
      <x:c r="A11" s="5" t="s">
        <x:v>26</x:v>
      </x:c>
      <x:c r="B11" s="5" t="s">
        <x:v>27</x:v>
      </x:c>
      <x:c r="C11" s="6">
        <x:v>1500</x:v>
      </x:c>
      <x:c r="D11" s="5" t="s">
        <x:v>28</x:v>
      </x:c>
    </x:row>
    <x:row r="12" ht="34" customHeight="1">
      <x:c r="A12" s="5" t="s">
        <x:v>29</x:v>
      </x:c>
      <x:c r="B12" s="5" t="s">
        <x:v>30</x:v>
      </x:c>
      <x:c r="C12" s="6">
        <x:v>1398905</x:v>
      </x:c>
      <x:c r="D12" s="5" t="s">
        <x:v>31</x:v>
      </x:c>
    </x:row>
    <x:row r="13" ht="34" customHeight="1">
      <x:c r="A13" s="5" t="s">
        <x:v>32</x:v>
      </x:c>
      <x:c r="B13" s="5" t="s">
        <x:v>33</x:v>
      </x:c>
      <x:c r="C13" s="6">
        <x:v>10127</x:v>
      </x:c>
      <x:c r="D13" s="5" t="s">
        <x:v>34</x:v>
      </x:c>
    </x:row>
    <x:row r="14" ht="34" customHeight="1">
      <x:c r="A14" s="7" t="s">
        <x:v>35</x:v>
      </x:c>
      <x:c r="B14" s="7" t="s">
        <x:v>36</x:v>
      </x:c>
      <x:c r="C14" s="8">
        <x:v>350</x:v>
      </x:c>
      <x:c r="D14" s="7" t="s">
        <x:v>37</x:v>
      </x:c>
    </x:row>
    <x:row r="15" ht="34" customHeight="1">
      <x:c r="A15" s="9" t="s">
        <x:v>38</x:v>
      </x:c>
      <x:c r="B15" s="9" t="s">
        <x:v>39</x:v>
      </x:c>
      <x:c r="C15" s="10">
        <x:f>C8+C9+C10</x:f>
        <x:v>14756</x:v>
      </x:c>
      <x:c r="D15" s="9" t="s">
        <x:v>40</x:v>
      </x:c>
    </x:row>
    <x:row r="16">
      <x:c r="A16" s="1"/>
      <x:c r="B16" s="1"/>
      <x:c r="C16" s="1"/>
      <x:c r="D16" s="1"/>
    </x:row>
    <x:row r="17" ht="42" customHeight="1">
      <x:c r="A17" s="4" t="s">
        <x:v>41</x:v>
      </x:c>
      <x:c r="B17" s="4"/>
      <x:c r="C17" s="4"/>
      <x:c r="D17" s="4"/>
    </x:row>
    <x:row r="18" ht="42" customHeight="1">
      <x:c r="A18" s="4" t="s">
        <x:v>42</x:v>
      </x:c>
      <x:c r="B18" s="4"/>
      <x:c r="C18" s="4"/>
      <x:c r="D18" s="4"/>
    </x:row>
  </x:sheetData>
  <x:mergeCells>
    <x:mergeCell ref="A1:D1"/>
    <x:mergeCell ref="A17:D17"/>
    <x:mergeCell ref="A18:D18"/>
  </x:mergeCells>
  <x:pageMargins left="0.7" right="0.7" top="0.75" bottom="0.75" header="0.3" footer="0.3"/>
</x:worksheet>
</file>