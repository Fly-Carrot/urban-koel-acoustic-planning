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8f29619544a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4" sheetId="1" r:id="R79aaed44a5124ae6"/>
  </x:sheets>
</x:workbook>
</file>

<file path=xl/sharedStrings.xml><?xml version="1.0" encoding="utf-8"?>
<x:sst xmlns:x="http://schemas.openxmlformats.org/spreadsheetml/2006/main">
  <x:si>
    <x:t xml:space="preserve">Table S4. Candidate daily-detection models and whole-station predictive comparison</x:t>
  </x:si>
  <x:si>
    <x:t xml:space="preserve">All candidates used the same 9,912 effort-confirmed station-days and were evaluated with the same five whole-station folds. Continuous predictors were standardised within each training fold.</x:t>
  </x:si>
  <x:si>
    <x:t xml:space="preserve">Panel A. Candidate definitions</x:t>
  </x:si>
  <x:si>
    <x:t xml:space="preserve">Candidate</x:t>
  </x:si>
  <x:si>
    <x:t xml:space="preserve">Scientific question</x:t>
  </x:si>
  <x:si>
    <x:t xml:space="preserve">Effort term</x:t>
  </x:si>
  <x:si>
    <x:t xml:space="preserve">Acoustic-event predictors</x:t>
  </x:si>
  <x:si>
    <x:t xml:space="preserve">Temporal treatment</x:t>
  </x:si>
  <x:si>
    <x:t xml:space="preserve">Fixed terms</x:t>
  </x:si>
  <x:si>
    <x:t xml:space="preserve">Common survey mask</x:t>
  </x:si>
  <x:si>
    <x:t xml:space="preserve">Final role</x:t>
  </x:si>
  <x:si>
    <x:t xml:space="preserve">Effort only</x:t>
  </x:si>
  <x:si>
    <x:t xml:space="preserve">Is recording effort alone sufficient?</x:t>
  </x:si>
  <x:si>
    <x:t xml:space="preserve">Standardised log recorded minutes</x:t>
  </x:si>
  <x:si>
    <x:t xml:space="preserve">None</x:t>
  </x:si>
  <x:si>
    <x:t xml:space="preserve">9,912 effort-confirmed days</x:t>
  </x:si>
  <x:si>
    <x:t xml:space="preserve">Benchmark</x:t>
  </x:si>
  <x:si>
    <x:t xml:space="preserve">Within-week acoustic conditions</x:t>
  </x:si>
  <x:si>
    <x:t xml:space="preserve">Do short-term acoustic conditions improve daily detectability?</x:t>
  </x:si>
  <x:si>
    <x:t xml:space="preserve">Anthropogenic, frog and insect event rates</x:t>
  </x:si>
  <x:si>
    <x:t xml:space="preserve">Daily deviations within each station-week</x:t>
  </x:si>
  <x:si>
    <x:t xml:space="preserve">Short-term sensitivity</x:t>
  </x:si>
  <x:si>
    <x:t xml:space="preserve">Separated daily, weekly and site context</x:t>
  </x:si>
  <x:si>
    <x:t xml:space="preserve">Does separating short-term and persistent acoustic context improve transfer?</x:t>
  </x:si>
  <x:si>
    <x:t xml:space="preserve">Daily deviations, week-to-week departures and between-site means</x:t>
  </x:si>
  <x:si>
    <x:t xml:space="preserve">Rich sensitivity; numerical ELPD leader</x:t>
  </x:si>
  <x:si>
    <x:t xml:space="preserve">Daily raw frog + insects</x:t>
  </x:si>
  <x:si>
    <x:t xml:space="preserve">Is a direct daily-rate model adequate without transforming frog rate?</x:t>
  </x:si>
  <x:si>
    <x:t xml:space="preserve">log(1 + anthropogenic rate), raw frog rate and insect rate</x:t>
  </x:si>
  <x:si>
    <x:t xml:space="preserve">Direct daily rates</x:t>
  </x:si>
  <x:si>
    <x:t xml:space="preserve">Raw-rate sensitivity</x:t>
  </x:si>
  <x:si>
    <x:t xml:space="preserve">Daily raw frog, no insects</x:t>
  </x:si>
  <x:si>
    <x:t xml:space="preserve">Can the near-constant insect term be removed from the raw-rate model?</x:t>
  </x:si>
  <x:si>
    <x:t xml:space="preserve">log(1 + anthropogenic rate) and raw frog rate</x:t>
  </x:si>
  <x:si>
    <x:t xml:space="preserve">Raw-frog sensitivity</x:t>
  </x:si>
  <x:si>
    <x:t xml:space="preserve">Daily log frog + insects</x:t>
  </x:si>
  <x:si>
    <x:t xml:space="preserve">Does transforming frog rate reduce right-tail leverage while retaining insects?</x:t>
  </x:si>
  <x:si>
    <x:t xml:space="preserve">log(1 + anthropogenic rate), log(1 + frog rate) and insect rate</x:t>
  </x:si>
  <x:si>
    <x:t xml:space="preserve">Insect-retention sensitivity</x:t>
  </x:si>
  <x:si>
    <x:t xml:space="preserve">Daily log frog, no insects</x:t>
  </x:si>
  <x:si>
    <x:t xml:space="preserve">Does the parsimonious transformed model retain predictive performance?</x:t>
  </x:si>
  <x:si>
    <x:t xml:space="preserve">log(1 + anthropogenic rate) and log(1 + frog rate)</x:t>
  </x:si>
  <x:si>
    <x:t xml:space="preserve">Retained detection backbone</x:t>
  </x:si>
  <x:si>
    <x:t xml:space="preserve">Panel B. Whole-station predictive comparison</x:t>
  </x:si>
  <x:si>
    <x:t xml:space="preserve">Held-station ELPD</x:t>
  </x:si>
  <x:si>
    <x:t xml:space="preserve">ΔELPD from leader</x:t>
  </x:si>
  <x:si>
    <x:t xml:space="preserve">Site-clustered SE</x:t>
  </x:si>
  <x:si>
    <x:t xml:space="preserve">Brier score</x:t>
  </x:si>
  <x:si>
    <x:t xml:space="preserve">Calibration intercept</x:t>
  </x:si>
  <x:si>
    <x:t xml:space="preserve">Calibration slope</x:t>
  </x:si>
  <x:si>
    <x:t xml:space="preserve">MCMC folds
clean / acceptable</x:t>
  </x:si>
  <x:si>
    <x:t xml:space="preserve">Within one-SE set</x:t>
  </x:si>
  <x:si>
    <x:t xml:space="preserve">Decision</x:t>
  </x:si>
  <x:si>
    <x:t xml:space="preserve">2 / 3</x:t>
  </x:si>
  <x:si>
    <x:t xml:space="preserve">No</x:t>
  </x:si>
  <x:si>
    <x:t xml:space="preserve">Benchmark only</x:t>
  </x:si>
  <x:si>
    <x:t xml:space="preserve">3 / 2</x:t>
  </x:si>
  <x:si>
    <x:t xml:space="preserve">Not retained</x:t>
  </x:si>
  <x:si>
    <x:t xml:space="preserve">Yes</x:t>
  </x:si>
  <x:si>
    <x:t xml:space="preserve">Numerical leader; rich sensitivity</x:t>
  </x:si>
  <x:si>
    <x:t xml:space="preserve">1 / 4</x:t>
  </x:si>
  <x:si>
    <x:t xml:space="preserve">5 / 0</x:t>
  </x:si>
  <x:si>
    <x:t xml:space="preserve">Retained backbone</x:t>
  </x:si>
  <x:si>
    <x:t xml:space="preserve">Notes. Higher ELPD is better; ΔELPD is candidate ELPD minus the numerical leader and is therefore zero for the leader and negative for lower-scoring candidates.</x:t>
  </x:si>
  <x:si>
    <x:t xml:space="preserve">The one-SE set used the site-clustered standard error of paired held-station log predictive density. The retained model was the lowest-complexity member of that set; among equal-complexity candidates, log(1 + frog rate) was preferred because frog-event rate had a strong right tail.</x:t>
  </x:si>
  <x:si>
    <x:t xml:space="preserve">Adding the near-constant insect term changed joint ELPD by only 1.37 ± 1.74. The retained backbone was confirmed after the end-to-end ecological-stability audit. Detection coefficients describe the observation process and are not ecological occurrence effects.</x:t>
  </x:si>
  <x:si>
    <x:t xml:space="preserve">Abbreviations: ELPD, expected log predictive density; MCMC, Markov chain Monte Carlo; SE, standard error.</x:t>
  </x:si>
</x:sst>
</file>

<file path=xl/styles.xml><?xml version="1.0" encoding="utf-8"?>
<x:styleSheet xmlns:x="http://schemas.openxmlformats.org/spreadsheetml/2006/main">
  <x:numFmts count="1">
    <x:numFmt numFmtId="164" formatCode="0.000"/>
  </x:numFmts>
  <x:fonts count="8">
    <x:font>
      <x:sz val="11"/>
      <x:name val="Carlito"/>
    </x:font>
    <x:font>
      <x:sz val="9"/>
      <x:color rgb="FF202124"/>
      <x:name val="Helvetica"/>
    </x:font>
    <x:font>
      <x:b/>
      <x:sz val="14"/>
      <x:color rgb="FF202124"/>
      <x:name val="Helvetica"/>
    </x:font>
    <x:font>
      <x:i/>
      <x:sz val="9"/>
      <x:color rgb="FF5F6368"/>
      <x:name val="Helvetica"/>
    </x:font>
    <x:font>
      <x:b/>
      <x:sz val="10"/>
      <x:color rgb="FFFFFFFF"/>
      <x:name val="Helvetica"/>
    </x:font>
    <x:font>
      <x:b/>
      <x:sz val="9"/>
      <x:color rgb="FF202124"/>
      <x:name val="Helvetica"/>
    </x:font>
    <x:font>
      <x:sz val="8"/>
      <x:color rgb="FF202124"/>
      <x:name val="Helvetica"/>
    </x:font>
    <x:font>
      <x:sz val="8"/>
      <x:color rgb="FF5F6368"/>
      <x:name val="Helvetica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07C83"/>
      </x:patternFill>
    </x:fill>
    <x:fill>
      <x:patternFill patternType="solid">
        <x:fgColor rgb="FFDDEFF0"/>
      </x:patternFill>
    </x:fill>
    <x:fill>
      <x:patternFill patternType="solid">
        <x:fgColor rgb="FFF6F7F8"/>
      </x:patternFill>
    </x:fill>
    <x:fill>
      <x:patternFill patternType="solid">
        <x:fgColor rgb="FFFBE9DD"/>
      </x:patternFill>
    </x:fill>
  </x:fills>
  <x:borders count="6">
    <x:border/>
    <x:border>
      <x:bottom style="medium">
        <x:color rgb="FF007C83"/>
      </x:bottom>
    </x:border>
    <x:border>
      <x:top style="thin">
        <x:color rgb="FF007C83"/>
      </x:top>
      <x:bottom style="thin">
        <x:color rgb="FF007C83"/>
      </x:bottom>
    </x:border>
    <x:border>
      <x:bottom style="thin">
        <x:color rgb="FFCBD2D7"/>
      </x:bottom>
    </x:border>
    <x:border>
      <x:top style="thin">
        <x:color rgb="FFCBD2D7"/>
      </x:top>
      <x:bottom style="thin">
        <x:color rgb="FFCBD2D7"/>
      </x:bottom>
    </x:border>
    <x:border>
      <x:top style="thin">
        <x:color rgb="FFCBD2D7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vertical="center"/>
    </x:xf>
    <x:xf numFmtId="0" fontId="5" fillId="4" borderId="2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vertical="center" wrapText="1"/>
    </x:xf>
    <x:xf numFmtId="0" fontId="3" fillId="2" borderId="0" xfId="0" applyFont="1" applyFill="1" applyAlignment="1">
      <x:alignment vertical="center" wrapText="1"/>
    </x:xf>
    <x:xf numFmtId="0" fontId="4" fillId="3" borderId="0" xfId="0" applyFont="1" applyFill="1" applyAlignment="1">
      <x:alignment vertical="center" wrapText="1"/>
    </x:xf>
    <x:xf numFmtId="0" fontId="7" fillId="2" borderId="0" xfId="0" applyFont="1" applyFill="1" applyAlignment="1">
      <x:alignment vertical="top" wrapText="1"/>
    </x:xf>
    <x:xf numFmtId="0" fontId="1" fillId="0" borderId="0" xfId="0" applyFont="1" applyAlignment="1">
      <x:alignment horizontal="center" vertical="center"/>
    </x:xf>
    <x:xf numFmtId="0" fontId="6" fillId="0" borderId="3" xfId="0" applyFont="1" applyBorder="1" applyAlignment="1">
      <x:alignment horizontal="center" vertical="center" wrapText="1"/>
    </x:xf>
    <x:xf numFmtId="0" fontId="6" fillId="5" borderId="4" xfId="0" applyFont="1" applyFill="1" applyBorder="1" applyAlignment="1">
      <x:alignment horizontal="center" vertical="center" wrapText="1"/>
    </x:xf>
    <x:xf numFmtId="0" fontId="6" fillId="0" borderId="4" xfId="0" applyFont="1" applyBorder="1" applyAlignment="1">
      <x:alignment horizontal="center" vertical="center" wrapText="1"/>
    </x:xf>
    <x:xf numFmtId="0" fontId="6" fillId="6" borderId="5" xfId="0" applyFont="1" applyFill="1" applyBorder="1" applyAlignment="1">
      <x:alignment horizontal="center" vertical="center" wrapText="1"/>
    </x:xf>
    <x:xf numFmtId="2" fontId="6" fillId="0" borderId="3" xfId="0" applyNumberFormat="1" applyFont="1" applyBorder="1" applyAlignment="1">
      <x:alignment horizontal="center" vertical="center" wrapText="1"/>
    </x:xf>
    <x:xf numFmtId="164" fontId="6" fillId="0" borderId="3" xfId="0" applyNumberFormat="1" applyFont="1" applyBorder="1" applyAlignment="1">
      <x:alignment horizontal="center" vertical="center" wrapText="1"/>
    </x:xf>
    <x:xf numFmtId="2" fontId="6" fillId="5" borderId="4" xfId="0" applyNumberFormat="1" applyFont="1" applyFill="1" applyBorder="1" applyAlignment="1">
      <x:alignment horizontal="center" vertical="center" wrapText="1"/>
    </x:xf>
    <x:xf numFmtId="164" fontId="6" fillId="5" borderId="4" xfId="0" applyNumberFormat="1" applyFont="1" applyFill="1" applyBorder="1" applyAlignment="1">
      <x:alignment horizontal="center" vertical="center" wrapText="1"/>
    </x:xf>
    <x:xf numFmtId="2" fontId="6" fillId="0" borderId="4" xfId="0" applyNumberFormat="1" applyFont="1" applyBorder="1" applyAlignment="1">
      <x:alignment horizontal="center" vertical="center" wrapText="1"/>
    </x:xf>
    <x:xf numFmtId="164" fontId="6" fillId="0" borderId="4" xfId="0" applyNumberFormat="1" applyFont="1" applyBorder="1" applyAlignment="1">
      <x:alignment horizontal="center" vertical="center" wrapText="1"/>
    </x:xf>
    <x:xf numFmtId="2" fontId="6" fillId="6" borderId="5" xfId="0" applyNumberFormat="1" applyFont="1" applyFill="1" applyBorder="1" applyAlignment="1">
      <x:alignment horizontal="center" vertical="center" wrapText="1"/>
    </x:xf>
    <x:xf numFmtId="164" fontId="6" fillId="6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202eed227441c" /><Relationship Type="http://schemas.openxmlformats.org/officeDocument/2006/relationships/theme" Target="/xl/theme/theme1.xml" Id="R798630f8e2ce46a5" /><Relationship Type="http://schemas.openxmlformats.org/officeDocument/2006/relationships/sharedStrings" Target="/xl/sharedStrings.xml" Id="R83e20d141bc44584" /><Relationship Type="http://schemas.openxmlformats.org/officeDocument/2006/relationships/worksheet" Target="/xl/worksheets/sheet1.xml" Id="R79aaed44a5124a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8.33203125" customWidth="1"/>
    <x:col min="2" max="2" width="24.5" customWidth="1"/>
    <x:col min="3" max="3" width="17.1640625" customWidth="1"/>
    <x:col min="4" max="4" width="24.5" customWidth="1"/>
    <x:col min="5" max="5" width="23.33203125" customWidth="1"/>
    <x:col min="6" max="6" width="8" customWidth="1"/>
    <x:col min="7" max="7" width="16.1640625" customWidth="1"/>
    <x:col min="8" max="8" width="17.83203125" customWidth="1"/>
    <x:col min="9" max="9" width="10" customWidth="1"/>
    <x:col min="10" max="10" width="18.83203125" customWidth="1"/>
  </x:cols>
  <x:sheetData>
    <x:row r="1" ht="34" customHeight="1">
      <x:c r="A1" s="3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4" t="s">
        <x:v>1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5" t="s">
        <x:v>2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 ht="42" customHeight="1">
      <x:c r="A5" s="2" t="s">
        <x:v>3</x:v>
      </x:c>
      <x:c r="B5" s="2" t="s">
        <x:v>4</x:v>
      </x:c>
      <x:c r="C5" s="2" t="s">
        <x:v>5</x:v>
      </x:c>
      <x:c r="D5" s="2" t="s">
        <x:v>6</x:v>
      </x:c>
      <x:c r="E5" s="2" t="s">
        <x:v>7</x:v>
      </x:c>
      <x:c r="F5" s="2" t="s">
        <x:v>8</x:v>
      </x:c>
      <x:c r="G5" s="2" t="s">
        <x:v>9</x:v>
      </x:c>
      <x:c r="H5" s="2" t="s">
        <x:v>10</x:v>
      </x:c>
      <x:c r="I5" s="7"/>
      <x:c r="J5" s="7"/>
    </x:row>
    <x:row r="6" ht="59" customHeight="1">
      <x:c r="A6" s="8" t="s">
        <x:v>11</x:v>
      </x:c>
      <x:c r="B6" s="8" t="s">
        <x:v>12</x:v>
      </x:c>
      <x:c r="C6" s="8" t="s">
        <x:v>13</x:v>
      </x:c>
      <x:c r="D6" s="8" t="s">
        <x:v>14</x:v>
      </x:c>
      <x:c r="E6" s="8" t="s">
        <x:v>14</x:v>
      </x:c>
      <x:c r="F6" s="8">
        <x:v>1</x:v>
      </x:c>
      <x:c r="G6" s="8" t="s">
        <x:v>15</x:v>
      </x:c>
      <x:c r="H6" s="8" t="s">
        <x:v>16</x:v>
      </x:c>
      <x:c r="I6" s="7"/>
      <x:c r="J6" s="7"/>
    </x:row>
    <x:row r="7" ht="59" customHeight="1">
      <x:c r="A7" s="9" t="s">
        <x:v>17</x:v>
      </x:c>
      <x:c r="B7" s="9" t="s">
        <x:v>18</x:v>
      </x:c>
      <x:c r="C7" s="9" t="s">
        <x:v>13</x:v>
      </x:c>
      <x:c r="D7" s="9" t="s">
        <x:v>19</x:v>
      </x:c>
      <x:c r="E7" s="9" t="s">
        <x:v>20</x:v>
      </x:c>
      <x:c r="F7" s="9">
        <x:v>4</x:v>
      </x:c>
      <x:c r="G7" s="9" t="s">
        <x:v>15</x:v>
      </x:c>
      <x:c r="H7" s="9" t="s">
        <x:v>21</x:v>
      </x:c>
      <x:c r="I7" s="7"/>
      <x:c r="J7" s="7"/>
    </x:row>
    <x:row r="8" ht="59" customHeight="1">
      <x:c r="A8" s="10" t="s">
        <x:v>22</x:v>
      </x:c>
      <x:c r="B8" s="10" t="s">
        <x:v>23</x:v>
      </x:c>
      <x:c r="C8" s="10" t="s">
        <x:v>13</x:v>
      </x:c>
      <x:c r="D8" s="10" t="s">
        <x:v>19</x:v>
      </x:c>
      <x:c r="E8" s="10" t="s">
        <x:v>24</x:v>
      </x:c>
      <x:c r="F8" s="10">
        <x:v>10</x:v>
      </x:c>
      <x:c r="G8" s="10" t="s">
        <x:v>15</x:v>
      </x:c>
      <x:c r="H8" s="10" t="s">
        <x:v>25</x:v>
      </x:c>
      <x:c r="I8" s="7"/>
      <x:c r="J8" s="7"/>
    </x:row>
    <x:row r="9" ht="59" customHeight="1">
      <x:c r="A9" s="9" t="s">
        <x:v>26</x:v>
      </x:c>
      <x:c r="B9" s="9" t="s">
        <x:v>27</x:v>
      </x:c>
      <x:c r="C9" s="9" t="s">
        <x:v>13</x:v>
      </x:c>
      <x:c r="D9" s="9" t="s">
        <x:v>28</x:v>
      </x:c>
      <x:c r="E9" s="9" t="s">
        <x:v>29</x:v>
      </x:c>
      <x:c r="F9" s="9">
        <x:v>4</x:v>
      </x:c>
      <x:c r="G9" s="9" t="s">
        <x:v>15</x:v>
      </x:c>
      <x:c r="H9" s="9" t="s">
        <x:v>30</x:v>
      </x:c>
      <x:c r="I9" s="7"/>
      <x:c r="J9" s="7"/>
    </x:row>
    <x:row r="10" ht="59" customHeight="1">
      <x:c r="A10" s="10" t="s">
        <x:v>31</x:v>
      </x:c>
      <x:c r="B10" s="10" t="s">
        <x:v>32</x:v>
      </x:c>
      <x:c r="C10" s="10" t="s">
        <x:v>13</x:v>
      </x:c>
      <x:c r="D10" s="10" t="s">
        <x:v>33</x:v>
      </x:c>
      <x:c r="E10" s="10" t="s">
        <x:v>29</x:v>
      </x:c>
      <x:c r="F10" s="10">
        <x:v>3</x:v>
      </x:c>
      <x:c r="G10" s="10" t="s">
        <x:v>15</x:v>
      </x:c>
      <x:c r="H10" s="10" t="s">
        <x:v>34</x:v>
      </x:c>
      <x:c r="I10" s="7"/>
      <x:c r="J10" s="7"/>
    </x:row>
    <x:row r="11" ht="59" customHeight="1">
      <x:c r="A11" s="9" t="s">
        <x:v>35</x:v>
      </x:c>
      <x:c r="B11" s="9" t="s">
        <x:v>36</x:v>
      </x:c>
      <x:c r="C11" s="9" t="s">
        <x:v>13</x:v>
      </x:c>
      <x:c r="D11" s="9" t="s">
        <x:v>37</x:v>
      </x:c>
      <x:c r="E11" s="9" t="s">
        <x:v>29</x:v>
      </x:c>
      <x:c r="F11" s="9">
        <x:v>4</x:v>
      </x:c>
      <x:c r="G11" s="9" t="s">
        <x:v>15</x:v>
      </x:c>
      <x:c r="H11" s="9" t="s">
        <x:v>38</x:v>
      </x:c>
      <x:c r="I11" s="7"/>
      <x:c r="J11" s="7"/>
    </x:row>
    <x:row r="12" ht="59" customHeight="1">
      <x:c r="A12" s="11" t="s">
        <x:v>39</x:v>
      </x:c>
      <x:c r="B12" s="11" t="s">
        <x:v>40</x:v>
      </x:c>
      <x:c r="C12" s="11" t="s">
        <x:v>13</x:v>
      </x:c>
      <x:c r="D12" s="11" t="s">
        <x:v>41</x:v>
      </x:c>
      <x:c r="E12" s="11" t="s">
        <x:v>29</x:v>
      </x:c>
      <x:c r="F12" s="11">
        <x:v>3</x:v>
      </x:c>
      <x:c r="G12" s="11" t="s">
        <x:v>15</x:v>
      </x:c>
      <x:c r="H12" s="11" t="s">
        <x:v>42</x:v>
      </x:c>
      <x:c r="I12" s="7"/>
      <x:c r="J12" s="7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3" customHeight="1">
      <x:c r="A15" s="5" t="s">
        <x:v>43</x:v>
      </x:c>
      <x:c r="B15" s="5"/>
      <x:c r="C15" s="5"/>
      <x:c r="D15" s="5"/>
      <x:c r="E15" s="5"/>
      <x:c r="F15" s="5"/>
      <x:c r="G15" s="5"/>
      <x:c r="H15" s="5"/>
      <x:c r="I15" s="5"/>
      <x:c r="J15" s="5"/>
    </x:row>
    <x:row r="16" ht="48" customHeight="1">
      <x:c r="A16" s="2" t="s">
        <x:v>3</x:v>
      </x:c>
      <x:c r="B16" s="2" t="s">
        <x:v>44</x:v>
      </x:c>
      <x:c r="C16" s="2" t="s">
        <x:v>45</x:v>
      </x:c>
      <x:c r="D16" s="2" t="s">
        <x:v>46</x:v>
      </x:c>
      <x:c r="E16" s="2" t="s">
        <x:v>47</x:v>
      </x:c>
      <x:c r="F16" s="2" t="s">
        <x:v>48</x:v>
      </x:c>
      <x:c r="G16" s="2" t="s">
        <x:v>49</x:v>
      </x:c>
      <x:c r="H16" s="2" t="s">
        <x:v>50</x:v>
      </x:c>
      <x:c r="I16" s="2" t="s">
        <x:v>51</x:v>
      </x:c>
      <x:c r="J16" s="2" t="s">
        <x:v>52</x:v>
      </x:c>
    </x:row>
    <x:row r="17" ht="45" customHeight="1">
      <x:c r="A17" s="8" t="s">
        <x:v>11</x:v>
      </x:c>
      <x:c r="B17" s="12">
        <x:v>-3642.85422057613</x:v>
      </x:c>
      <x:c r="C17" s="12">
        <x:f t="shared" ref="C17:C23" si="0">B17-MAX($B$17:$B$23)</x:f>
        <x:v>-93.738136792740079</x:v>
      </x:c>
      <x:c r="D17" s="12">
        <x:v>32.121915881117602</x:v>
      </x:c>
      <x:c r="E17" s="13">
        <x:v>0.162949354302792</x:v>
      </x:c>
      <x:c r="F17" s="13">
        <x:v>0.30553306007227199</x:v>
      </x:c>
      <x:c r="G17" s="13">
        <x:v>0.85347740806497896</x:v>
      </x:c>
      <x:c r="H17" s="8" t="s">
        <x:v>53</x:v>
      </x:c>
      <x:c r="I17" s="8" t="s">
        <x:v>54</x:v>
      </x:c>
      <x:c r="J17" s="8" t="s">
        <x:v>55</x:v>
      </x:c>
    </x:row>
    <x:row r="18" ht="45" customHeight="1">
      <x:c r="A18" s="9" t="s">
        <x:v>17</x:v>
      </x:c>
      <x:c r="B18" s="14">
        <x:v>-3633.0829477356601</x:v>
      </x:c>
      <x:c r="C18" s="14">
        <x:f t="shared" si="0"/>
        <x:v>-83.96686395227016</x:v>
      </x:c>
      <x:c r="D18" s="14">
        <x:v>31.973962940613401</x:v>
      </x:c>
      <x:c r="E18" s="15">
        <x:v>0.16295503798664401</x:v>
      </x:c>
      <x:c r="F18" s="15">
        <x:v>0.30191673496207699</x:v>
      </x:c>
      <x:c r="G18" s="15">
        <x:v>0.86290862698030302</x:v>
      </x:c>
      <x:c r="H18" s="9" t="s">
        <x:v>56</x:v>
      </x:c>
      <x:c r="I18" s="9" t="s">
        <x:v>54</x:v>
      </x:c>
      <x:c r="J18" s="9" t="s">
        <x:v>57</x:v>
      </x:c>
    </x:row>
    <x:row r="19" ht="45" customHeight="1">
      <x:c r="A19" s="10" t="s">
        <x:v>22</x:v>
      </x:c>
      <x:c r="B19" s="16">
        <x:v>-3549.11608378339</x:v>
      </x:c>
      <x:c r="C19" s="16">
        <x:f t="shared" si="0"/>
        <x:v>0</x:v>
      </x:c>
      <x:c r="D19" s="16">
        <x:v>0</x:v>
      </x:c>
      <x:c r="E19" s="17">
        <x:v>0.15538090476439301</x:v>
      </x:c>
      <x:c r="F19" s="17">
        <x:v>0.26863670753017199</x:v>
      </x:c>
      <x:c r="G19" s="17">
        <x:v>0.83496951024530397</x:v>
      </x:c>
      <x:c r="H19" s="10" t="s">
        <x:v>56</x:v>
      </x:c>
      <x:c r="I19" s="10" t="s">
        <x:v>58</x:v>
      </x:c>
      <x:c r="J19" s="10" t="s">
        <x:v>59</x:v>
      </x:c>
    </x:row>
    <x:row r="20" ht="45" customHeight="1">
      <x:c r="A20" s="9" t="s">
        <x:v>26</x:v>
      </x:c>
      <x:c r="B20" s="14">
        <x:v>-3564.0781815545402</x:v>
      </x:c>
      <x:c r="C20" s="14">
        <x:f t="shared" si="0"/>
        <x:v>-14.962097771150184</x:v>
      </x:c>
      <x:c r="D20" s="14">
        <x:v>16.234511229091002</x:v>
      </x:c>
      <x:c r="E20" s="15">
        <x:v>0.15637599316701201</x:v>
      </x:c>
      <x:c r="F20" s="15">
        <x:v>0.23261545784916501</x:v>
      </x:c>
      <x:c r="G20" s="15">
        <x:v>0.857438700433928</x:v>
      </x:c>
      <x:c r="H20" s="9" t="s">
        <x:v>60</x:v>
      </x:c>
      <x:c r="I20" s="9" t="s">
        <x:v>58</x:v>
      </x:c>
      <x:c r="J20" s="9" t="s">
        <x:v>30</x:v>
      </x:c>
    </x:row>
    <x:row r="21" ht="45" customHeight="1">
      <x:c r="A21" s="10" t="s">
        <x:v>31</x:v>
      </x:c>
      <x:c r="B21" s="16">
        <x:v>-3564.7072448908798</x:v>
      </x:c>
      <x:c r="C21" s="16">
        <x:f t="shared" si="0"/>
        <x:v>-15.591161107489825</x:v>
      </x:c>
      <x:c r="D21" s="16">
        <x:v>16.250903659919501</x:v>
      </x:c>
      <x:c r="E21" s="17">
        <x:v>0.156316982242934</x:v>
      </x:c>
      <x:c r="F21" s="17">
        <x:v>0.236674120275018</x:v>
      </x:c>
      <x:c r="G21" s="17">
        <x:v>0.84861497793686202</x:v>
      </x:c>
      <x:c r="H21" s="10" t="s">
        <x:v>61</x:v>
      </x:c>
      <x:c r="I21" s="10" t="s">
        <x:v>58</x:v>
      </x:c>
      <x:c r="J21" s="10" t="s">
        <x:v>34</x:v>
      </x:c>
    </x:row>
    <x:row r="22" ht="45" customHeight="1">
      <x:c r="A22" s="9" t="s">
        <x:v>35</x:v>
      </x:c>
      <x:c r="B22" s="14">
        <x:v>-3567.77125797812</x:v>
      </x:c>
      <x:c r="C22" s="14">
        <x:f t="shared" si="0"/>
        <x:v>-18.65517419473008</x:v>
      </x:c>
      <x:c r="D22" s="14">
        <x:v>25.0214666404597</x:v>
      </x:c>
      <x:c r="E22" s="15">
        <x:v>0.15455942437266099</x:v>
      </x:c>
      <x:c r="F22" s="15">
        <x:v>0.20417077016841001</x:v>
      </x:c>
      <x:c r="G22" s="15">
        <x:v>0.86192451697936301</x:v>
      </x:c>
      <x:c r="H22" s="9" t="s">
        <x:v>61</x:v>
      </x:c>
      <x:c r="I22" s="9" t="s">
        <x:v>58</x:v>
      </x:c>
      <x:c r="J22" s="9" t="s">
        <x:v>38</x:v>
      </x:c>
    </x:row>
    <x:row r="23" ht="45" customHeight="1">
      <x:c r="A23" s="11" t="s">
        <x:v>39</x:v>
      </x:c>
      <x:c r="B23" s="18">
        <x:v>-3569.14072813039</x:v>
      </x:c>
      <x:c r="C23" s="18">
        <x:f t="shared" si="0"/>
        <x:v>-20.024644347000049</x:v>
      </x:c>
      <x:c r="D23" s="18">
        <x:v>24.602369097241599</x:v>
      </x:c>
      <x:c r="E23" s="19">
        <x:v>0.154752737833316</x:v>
      </x:c>
      <x:c r="F23" s="19">
        <x:v>0.20921223538304501</x:v>
      </x:c>
      <x:c r="G23" s="19">
        <x:v>0.85845475133591898</x:v>
      </x:c>
      <x:c r="H23" s="11" t="s">
        <x:v>61</x:v>
      </x:c>
      <x:c r="I23" s="11" t="s">
        <x:v>58</x:v>
      </x:c>
      <x:c r="J23" s="11" t="s">
        <x:v>62</x:v>
      </x:c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30" customHeight="1">
      <x:c r="A25" s="6" t="s">
        <x:v>63</x:v>
      </x:c>
      <x:c r="B25" s="6"/>
      <x:c r="C25" s="6"/>
      <x:c r="D25" s="6"/>
      <x:c r="E25" s="6"/>
      <x:c r="F25" s="6"/>
      <x:c r="G25" s="6"/>
      <x:c r="H25" s="6"/>
      <x:c r="I25" s="6"/>
      <x:c r="J25" s="6"/>
    </x:row>
    <x:row r="26" ht="30" customHeight="1">
      <x:c r="A26" s="6" t="s">
        <x:v>64</x:v>
      </x:c>
      <x:c r="B26" s="6"/>
      <x:c r="C26" s="6"/>
      <x:c r="D26" s="6"/>
      <x:c r="E26" s="6"/>
      <x:c r="F26" s="6"/>
      <x:c r="G26" s="6"/>
      <x:c r="H26" s="6"/>
      <x:c r="I26" s="6"/>
      <x:c r="J26" s="6"/>
    </x:row>
    <x:row r="27" ht="30" customHeight="1">
      <x:c r="A27" s="6" t="s">
        <x:v>65</x:v>
      </x:c>
      <x:c r="B27" s="6"/>
      <x:c r="C27" s="6"/>
      <x:c r="D27" s="6"/>
      <x:c r="E27" s="6"/>
      <x:c r="F27" s="6"/>
      <x:c r="G27" s="6"/>
      <x:c r="H27" s="6"/>
      <x:c r="I27" s="6"/>
      <x:c r="J27" s="6"/>
    </x:row>
    <x:row r="28" ht="30" customHeight="1">
      <x:c r="A28" s="6" t="s">
        <x:v>66</x:v>
      </x:c>
      <x:c r="B28" s="6"/>
      <x:c r="C28" s="6"/>
      <x:c r="D28" s="6"/>
      <x:c r="E28" s="6"/>
      <x:c r="F28" s="6"/>
      <x:c r="G28" s="6"/>
      <x:c r="H28" s="6"/>
      <x:c r="I28" s="6"/>
      <x:c r="J28" s="6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mergeCells>
    <x:mergeCell ref="A26:J26"/>
    <x:mergeCell ref="A27:J27"/>
    <x:mergeCell ref="A28:J28"/>
    <x:mergeCell ref="A1:J1"/>
    <x:mergeCell ref="A2:J2"/>
    <x:mergeCell ref="A4:J4"/>
    <x:mergeCell ref="A15:J15"/>
    <x:mergeCell ref="A25:J25"/>
  </x:mergeCells>
  <x:pageMargins left="0.7" right="0.7" top="0.75" bottom="0.75" header="0.3" footer="0.3"/>
</x:worksheet>
</file>